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326FC9C4-A565-4796-ADB4-01B251BB542D}" xr6:coauthVersionLast="47" xr6:coauthVersionMax="47" xr10:uidLastSave="{00000000-0000-0000-0000-000000000000}"/>
  <bookViews>
    <workbookView xWindow="-120" yWindow="-120" windowWidth="20730" windowHeight="11160" xr2:uid="{00000000-000D-0000-FFFF-FFFF00000000}"/>
  </bookViews>
  <sheets>
    <sheet name="KPI" sheetId="8" r:id="rId1"/>
    <sheet name="Data" sheetId="1" r:id="rId2"/>
    <sheet name="Images" sheetId="2" r:id="rId3"/>
    <sheet name="Background 1" sheetId="3" r:id="rId4"/>
  </sheets>
  <definedNames>
    <definedName name="_xlchart.v1.0" hidden="1">KPI!$C$69:$C$77</definedName>
    <definedName name="_xlchart.v1.1" hidden="1">KPI!$D$68</definedName>
    <definedName name="_xlchart.v1.10" hidden="1">KPI!$D$68</definedName>
    <definedName name="_xlchart.v1.11" hidden="1">KPI!$D$69:$D$77</definedName>
    <definedName name="_xlchart.v1.2" hidden="1">KPI!$D$69:$D$77</definedName>
    <definedName name="_xlchart.v1.9" hidden="1">KPI!$C$69:$C$77</definedName>
    <definedName name="_xlchart.v2.3" hidden="1">KPI!$C$109:$C$111</definedName>
    <definedName name="_xlchart.v2.4" hidden="1">KPI!$D$108</definedName>
    <definedName name="_xlchart.v2.5" hidden="1">KPI!$D$109:$D$111</definedName>
    <definedName name="_xlchart.v2.6" hidden="1">KPI!$C$109:$C$111</definedName>
    <definedName name="_xlchart.v2.7" hidden="1">KPI!$D$108</definedName>
    <definedName name="_xlchart.v2.8" hidden="1">KPI!$D$109:$D$111</definedName>
    <definedName name="Slicer_Department">#N/A</definedName>
    <definedName name="Slicer_Education_Field">#N/A</definedName>
    <definedName name="Slicer_Gende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0W7NtiAel2xy0cZdwUBcRsMoEuXg6pzXui43o1bypBA="/>
    </ext>
  </extLst>
</workbook>
</file>

<file path=xl/calcChain.xml><?xml version="1.0" encoding="utf-8"?>
<calcChain xmlns="http://schemas.openxmlformats.org/spreadsheetml/2006/main">
  <c r="C110" i="8" l="1"/>
  <c r="C111" i="8"/>
  <c r="C112" i="8"/>
  <c r="C109" i="8"/>
  <c r="C70" i="8"/>
  <c r="C71" i="8"/>
  <c r="C72" i="8"/>
  <c r="C73" i="8"/>
  <c r="C74" i="8"/>
  <c r="C75" i="8"/>
  <c r="C76" i="8"/>
  <c r="C77" i="8"/>
  <c r="C78" i="8"/>
  <c r="C69" i="8"/>
  <c r="A45" i="8"/>
  <c r="A44" i="8"/>
  <c r="D110" i="8"/>
  <c r="D111" i="8"/>
  <c r="D112" i="8"/>
  <c r="D109" i="8"/>
  <c r="D78" i="8"/>
  <c r="D70" i="8"/>
  <c r="D74" i="8"/>
  <c r="D71" i="8"/>
  <c r="D75" i="8"/>
  <c r="D77" i="8"/>
  <c r="D72" i="8"/>
  <c r="D76" i="8"/>
  <c r="D73" i="8"/>
  <c r="D69" i="8"/>
  <c r="B45" i="8"/>
  <c r="A9" i="8"/>
  <c r="B17" i="8"/>
  <c r="B9" i="8"/>
  <c r="B44" i="8"/>
  <c r="C9" i="8"/>
  <c r="C44" i="8" l="1"/>
  <c r="C45" i="8"/>
  <c r="B18" i="8"/>
  <c r="D9" i="8"/>
  <c r="E9" i="8"/>
</calcChain>
</file>

<file path=xl/sharedStrings.xml><?xml version="1.0" encoding="utf-8"?>
<sst xmlns="http://schemas.openxmlformats.org/spreadsheetml/2006/main" count="19211" uniqueCount="1568">
  <si>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</si>
  <si>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</si>
  <si>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</si>
  <si>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</si>
  <si>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</si>
  <si>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</si>
  <si>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</si>
  <si>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</si>
  <si>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</si>
  <si>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</si>
  <si>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</si>
  <si>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</si>
  <si>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</si>
  <si>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</si>
  <si>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</si>
  <si>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</si>
  <si>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</si>
  <si>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</si>
  <si>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</si>
  <si>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</si>
  <si>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</si>
  <si>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</si>
  <si>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</si>
  <si>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</si>
  <si>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</si>
  <si>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</si>
  <si>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</si>
  <si>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</si>
  <si>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</si>
  <si>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</si>
  <si>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</si>
  <si>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</si>
  <si>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</si>
  <si>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</si>
  <si>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</si>
  <si>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</si>
  <si>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</si>
  <si>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</si>
  <si>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</si>
  <si>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</si>
  <si>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</si>
  <si>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</si>
  <si>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</si>
  <si>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</si>
  <si>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</si>
  <si>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</si>
  <si>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</si>
  <si>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</si>
  <si>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</si>
  <si>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</si>
  <si>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</si>
  <si>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</si>
  <si>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</si>
  <si>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</si>
  <si>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</si>
  <si>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</si>
  <si>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</si>
  <si>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</si>
  <si>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</si>
  <si>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</si>
  <si>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</si>
  <si>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</si>
  <si>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</si>
  <si>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</si>
  <si>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</si>
  <si>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</si>
  <si>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</si>
  <si>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</si>
  <si>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</si>
  <si>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</si>
  <si>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</si>
  <si>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</si>
  <si>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</si>
  <si>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</si>
  <si>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</si>
  <si>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</si>
  <si>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</si>
  <si>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</si>
  <si>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</si>
  <si>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</si>
  <si>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</si>
  <si>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</si>
  <si>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</si>
  <si>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</si>
  <si>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</si>
  <si>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</si>
  <si>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</si>
  <si>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</si>
  <si>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</si>
  <si>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</si>
  <si>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</si>
  <si>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</si>
  <si>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</si>
  <si>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</si>
  <si>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</si>
  <si>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</si>
  <si>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</si>
  <si>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</si>
  <si>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</si>
  <si>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</si>
  <si>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</si>
  <si>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</si>
  <si>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</si>
  <si>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</si>
  <si>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</si>
  <si>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</si>
  <si>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</si>
  <si>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</si>
  <si>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</si>
  <si>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</si>
  <si>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</si>
  <si>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</si>
  <si>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</si>
  <si>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</si>
  <si>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</si>
  <si>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</si>
  <si>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</si>
  <si>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</si>
  <si>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</si>
  <si>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</si>
  <si>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</si>
  <si>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</si>
  <si>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</si>
  <si>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</si>
  <si>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</si>
  <si>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</si>
  <si>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</si>
  <si>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</si>
  <si>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</si>
  <si>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</si>
  <si>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</si>
  <si>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</si>
  <si>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</si>
  <si>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</si>
  <si>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</si>
  <si>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</si>
  <si>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</si>
  <si>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</si>
  <si>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</si>
  <si>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</si>
  <si>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</si>
  <si>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</si>
  <si>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</si>
  <si>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</si>
  <si>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</si>
  <si>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</si>
  <si>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</si>
  <si>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</si>
  <si>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</si>
  <si>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</si>
  <si>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</si>
  <si>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</si>
  <si>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</si>
  <si>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</si>
  <si>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</si>
  <si>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</si>
  <si>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</si>
  <si>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</si>
  <si>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</si>
  <si>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</si>
  <si>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</si>
  <si>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</si>
  <si>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</si>
  <si>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</si>
  <si>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</si>
  <si>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</si>
  <si>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</si>
  <si>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</si>
  <si>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</si>
  <si>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</si>
  <si>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</si>
  <si>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</si>
  <si>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</si>
  <si>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</si>
  <si>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</si>
  <si>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</si>
  <si>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</si>
  <si>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</si>
  <si>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</si>
  <si>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</si>
  <si>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</si>
  <si>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</si>
  <si>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</si>
  <si>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</si>
  <si>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</si>
  <si>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</si>
  <si>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</si>
  <si>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</si>
  <si>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</si>
  <si>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</si>
  <si>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</si>
  <si>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</si>
  <si>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</si>
  <si>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</si>
  <si>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</si>
  <si>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</si>
  <si>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</si>
  <si>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</si>
  <si>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</si>
  <si>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</si>
  <si>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</si>
  <si>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</si>
  <si>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</si>
  <si>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</si>
  <si>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</si>
  <si>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</si>
  <si>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</si>
  <si>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</si>
  <si>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</si>
  <si>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</si>
  <si>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</si>
  <si>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</si>
  <si>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</si>
  <si>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</si>
  <si>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</si>
  <si>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</si>
  <si>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</si>
  <si>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</si>
  <si>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</si>
  <si>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</si>
  <si>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</si>
  <si>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</si>
  <si>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</si>
  <si>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</si>
  <si>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</si>
  <si>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</si>
  <si>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</si>
  <si>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</si>
  <si>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</si>
  <si>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</si>
  <si>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</si>
  <si>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</si>
  <si>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</si>
  <si>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</si>
  <si>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</si>
  <si>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</si>
  <si>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</si>
  <si>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</si>
  <si>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</si>
  <si>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</si>
  <si>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</si>
  <si>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</si>
  <si>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</si>
  <si>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</si>
  <si>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</si>
  <si>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</si>
  <si>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</si>
  <si>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</si>
  <si>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</si>
  <si>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</si>
  <si>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</si>
  <si>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</si>
  <si>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</si>
  <si>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</si>
  <si>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</si>
  <si>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</si>
  <si>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</si>
  <si>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</si>
  <si>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</si>
  <si>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</si>
  <si>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</si>
  <si>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</si>
  <si>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</si>
  <si>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</si>
  <si>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</si>
  <si>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</si>
  <si>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</si>
  <si>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</si>
  <si>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</si>
  <si>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</si>
  <si>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</si>
  <si>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</si>
  <si>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</si>
  <si>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</si>
  <si>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</si>
  <si>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</si>
  <si>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</si>
  <si>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</si>
  <si>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</si>
  <si>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</si>
  <si>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</si>
  <si>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</si>
  <si>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</si>
  <si>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</si>
  <si>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</si>
  <si>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</si>
  <si>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</si>
  <si>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</si>
  <si>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</si>
  <si>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</si>
  <si>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</si>
  <si>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</si>
  <si>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</si>
  <si>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</si>
  <si>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</si>
  <si>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</si>
  <si>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</si>
  <si>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</si>
  <si>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</si>
  <si>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</si>
  <si>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</si>
  <si>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</si>
  <si>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</si>
  <si>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</si>
  <si>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</si>
  <si>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</si>
  <si>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</si>
  <si>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</si>
  <si>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</si>
  <si>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</si>
  <si>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</si>
  <si>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</si>
  <si>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</si>
  <si>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</si>
  <si>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</si>
  <si>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</si>
  <si>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</si>
  <si>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</si>
  <si>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</si>
  <si>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</si>
  <si>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</si>
  <si>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</si>
  <si>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</si>
  <si>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</si>
  <si>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</si>
  <si>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</si>
  <si>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</si>
  <si>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</si>
  <si>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</si>
  <si>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</si>
  <si>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</si>
  <si>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</si>
  <si>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</si>
  <si>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</si>
  <si>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</si>
  <si>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</si>
  <si>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</si>
  <si>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</si>
  <si>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</si>
  <si>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</si>
  <si>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</si>
  <si>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</si>
  <si>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</si>
  <si>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</si>
  <si>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</si>
  <si>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</si>
  <si>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</si>
  <si>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</si>
  <si>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</si>
  <si>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</si>
  <si>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</si>
  <si>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</si>
  <si>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</si>
  <si>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</si>
  <si>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</si>
  <si>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</si>
  <si>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</si>
  <si>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</si>
  <si>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</si>
  <si>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</si>
  <si>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</si>
  <si>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</si>
  <si>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</si>
  <si>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</si>
  <si>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</si>
  <si>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</si>
  <si>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</si>
  <si>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</si>
  <si>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</si>
  <si>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</si>
  <si>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</si>
  <si>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</si>
  <si>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</si>
  <si>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</si>
  <si>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</si>
  <si>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</si>
  <si>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</si>
  <si>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</si>
  <si>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</si>
  <si>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</si>
  <si>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</si>
  <si>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</si>
  <si>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</si>
  <si>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</si>
  <si>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</si>
  <si>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</si>
  <si>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</si>
  <si>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</si>
  <si>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</si>
  <si>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</si>
  <si>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</si>
  <si>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</si>
  <si>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</si>
  <si>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</si>
  <si>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</si>
  <si>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</si>
  <si>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</si>
  <si>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</si>
  <si>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</si>
  <si>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</si>
  <si>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</si>
  <si>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</si>
  <si>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</si>
  <si>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</si>
  <si>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</si>
  <si>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</si>
  <si>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</si>
  <si>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</si>
  <si>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</si>
  <si>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</si>
  <si>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</si>
  <si>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</si>
  <si>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</si>
  <si>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</si>
  <si>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</si>
  <si>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</si>
  <si>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</si>
  <si>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</si>
  <si>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</si>
  <si>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</si>
  <si>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</si>
  <si>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</si>
  <si>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</si>
  <si>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</si>
  <si>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</si>
  <si>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</si>
  <si>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</si>
  <si>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</si>
  <si>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</si>
  <si>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</si>
  <si>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</si>
  <si>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</si>
  <si>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</si>
  <si>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</si>
  <si>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</si>
  <si>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</si>
  <si>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</si>
  <si>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</si>
  <si>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</si>
  <si>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</si>
  <si>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</si>
  <si>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</si>
  <si>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</si>
  <si>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</si>
  <si>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</si>
  <si>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</si>
  <si>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</si>
  <si>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</si>
  <si>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</si>
  <si>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</si>
  <si>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</si>
  <si>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</si>
  <si>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</si>
  <si>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</si>
  <si>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</si>
  <si>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</si>
  <si>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</si>
  <si>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</si>
  <si>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</si>
  <si>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</si>
  <si>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</si>
  <si>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</si>
  <si>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</si>
  <si>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</si>
  <si>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</si>
  <si>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</si>
  <si>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</si>
  <si>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</si>
  <si>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</si>
  <si>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</si>
  <si>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</si>
  <si>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</si>
  <si>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</si>
  <si>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</si>
  <si>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</si>
  <si>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</si>
  <si>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</si>
  <si>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</si>
  <si>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</si>
  <si>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</si>
  <si>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</si>
  <si>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</si>
  <si>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</si>
  <si>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</si>
  <si>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</si>
  <si>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</si>
  <si>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</si>
  <si>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</si>
  <si>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</si>
  <si>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</si>
  <si>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</si>
  <si>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</si>
  <si>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</si>
  <si>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</si>
  <si>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</si>
  <si>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</si>
  <si>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</si>
  <si>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</si>
  <si>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</si>
  <si>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</si>
  <si>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</si>
  <si>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</si>
  <si>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</si>
  <si>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</si>
  <si>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</si>
  <si>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</si>
  <si>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</si>
  <si>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</si>
  <si>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</si>
  <si>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</si>
  <si>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</si>
  <si>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</si>
  <si>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</si>
  <si>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</si>
  <si>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</si>
  <si>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</si>
  <si>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</si>
  <si>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</si>
  <si>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</si>
  <si>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</si>
  <si>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</si>
  <si>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</si>
  <si>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</si>
  <si>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</si>
  <si>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</si>
  <si>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</si>
  <si>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</si>
  <si>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</si>
  <si>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</si>
  <si>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</si>
  <si>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</si>
  <si>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</si>
  <si>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</si>
  <si>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</si>
  <si>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</si>
  <si>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</si>
  <si>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</si>
  <si>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</si>
  <si>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</si>
  <si>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</si>
  <si>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</si>
  <si>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</si>
  <si>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</si>
  <si>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</si>
  <si>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</si>
  <si>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</si>
  <si>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</si>
  <si>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</si>
  <si>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</si>
  <si>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</si>
  <si>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</si>
  <si>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</si>
  <si>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</si>
  <si>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</si>
  <si>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</si>
  <si>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</si>
  <si>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</si>
  <si>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</si>
  <si>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</si>
  <si>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</si>
  <si>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</si>
  <si>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</si>
  <si>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</si>
  <si>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</si>
  <si>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</si>
  <si>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</si>
  <si>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</si>
  <si>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</si>
  <si>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</si>
  <si>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</si>
  <si>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</si>
  <si>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</si>
  <si>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</si>
  <si>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</si>
  <si>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</si>
  <si>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</si>
  <si>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</si>
  <si>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</si>
  <si>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</si>
  <si>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</si>
  <si>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</si>
  <si>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</si>
  <si>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</si>
  <si>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</si>
  <si>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</si>
  <si>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</si>
  <si>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</si>
  <si>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</si>
  <si>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</si>
  <si>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</si>
  <si>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</si>
  <si>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</si>
  <si>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</si>
  <si>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</si>
  <si>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</si>
  <si>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</si>
  <si>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</si>
  <si>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</si>
  <si>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</si>
  <si>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</si>
  <si>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</si>
  <si>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</si>
  <si>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</si>
  <si>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</si>
  <si>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</si>
  <si>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</si>
  <si>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</si>
  <si>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</si>
  <si>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</si>
  <si>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</si>
  <si>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</si>
  <si>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</si>
  <si>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</si>
  <si>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</si>
  <si>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</si>
  <si>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</si>
  <si>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</si>
  <si>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</si>
  <si>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</si>
  <si>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</si>
  <si>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</si>
  <si>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</si>
  <si>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</si>
  <si>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</si>
  <si>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</si>
  <si>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</si>
  <si>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</si>
  <si>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</si>
  <si>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</si>
  <si>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</si>
  <si>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</si>
  <si>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</si>
  <si>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</si>
  <si>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</si>
  <si>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</si>
  <si>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</si>
  <si>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</si>
  <si>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</si>
  <si>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</si>
  <si>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</si>
  <si>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</si>
  <si>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</si>
  <si>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</si>
  <si>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</si>
  <si>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</si>
  <si>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</si>
  <si>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</si>
  <si>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</si>
  <si>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</si>
  <si>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</si>
  <si>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</si>
  <si>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</si>
  <si>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</si>
  <si>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</si>
  <si>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</si>
  <si>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</si>
  <si>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</si>
  <si>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</si>
  <si>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</si>
  <si>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</si>
  <si>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</si>
  <si>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</si>
  <si>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</si>
  <si>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</si>
  <si>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</si>
  <si>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</si>
  <si>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</si>
  <si>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</si>
  <si>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</si>
  <si>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</si>
  <si>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</si>
  <si>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</si>
  <si>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</si>
  <si>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</si>
  <si>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</si>
  <si>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</si>
  <si>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</si>
  <si>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</si>
  <si>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</si>
  <si>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</si>
  <si>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</si>
  <si>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</si>
  <si>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</si>
  <si>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</si>
  <si>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</si>
  <si>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</si>
  <si>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</si>
  <si>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</si>
  <si>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</si>
  <si>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</si>
  <si>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</si>
  <si>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</si>
  <si>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</si>
  <si>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</si>
  <si>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</si>
  <si>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</si>
  <si>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</si>
  <si>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</si>
  <si>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</si>
  <si>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</si>
  <si>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</si>
  <si>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</si>
  <si>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</si>
  <si>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</si>
  <si>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</si>
  <si>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</si>
  <si>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</si>
  <si>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</si>
  <si>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</si>
  <si>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</si>
  <si>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</si>
  <si>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</si>
  <si>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</si>
  <si>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</si>
  <si>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</si>
  <si>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</si>
  <si>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</si>
  <si>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</si>
  <si>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</si>
  <si>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</si>
  <si>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</si>
  <si>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</si>
  <si>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</si>
  <si>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</si>
  <si>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</si>
  <si>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</si>
  <si>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</si>
  <si>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</si>
  <si>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</si>
  <si>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</si>
  <si>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</si>
  <si>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</si>
  <si>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</si>
  <si>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</si>
  <si>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</si>
  <si>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</si>
  <si>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</si>
  <si>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</si>
  <si>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</si>
  <si>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</si>
  <si>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</si>
  <si>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</si>
  <si>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</si>
  <si>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</si>
  <si>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</si>
  <si>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</si>
  <si>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</si>
  <si>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</si>
  <si>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</si>
  <si>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</si>
  <si>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</si>
  <si>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</si>
  <si>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</si>
  <si>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</si>
  <si>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</si>
  <si>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</si>
  <si>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</si>
  <si>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</si>
  <si>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</si>
  <si>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</si>
  <si>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</si>
  <si>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</si>
  <si>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</si>
  <si>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</si>
  <si>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</si>
  <si>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</si>
  <si>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</si>
  <si>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</si>
  <si>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</si>
  <si>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</si>
  <si>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</si>
  <si>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</si>
  <si>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</si>
  <si>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</si>
  <si>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</si>
  <si>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</si>
  <si>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</si>
  <si>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</si>
  <si>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</si>
  <si>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</si>
  <si>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</si>
  <si>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</si>
  <si>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</si>
  <si>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</si>
  <si>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</si>
  <si>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</si>
  <si>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</si>
  <si>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</si>
  <si>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</si>
  <si>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</si>
  <si>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</si>
  <si>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</si>
  <si>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</si>
  <si>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</si>
  <si>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</si>
  <si>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</si>
  <si>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</si>
  <si>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</si>
  <si>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</si>
  <si>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</si>
  <si>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</si>
  <si>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</si>
  <si>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</si>
  <si>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</si>
  <si>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</si>
  <si>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</si>
  <si>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</si>
  <si>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</si>
  <si>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</si>
  <si>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</si>
  <si>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</si>
  <si>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</si>
  <si>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</si>
  <si>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</si>
  <si>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</si>
  <si>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</si>
  <si>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</si>
  <si>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</si>
  <si>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</si>
  <si>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</si>
  <si>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</si>
  <si>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</si>
  <si>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</si>
  <si>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</si>
  <si>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</si>
  <si>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</si>
  <si>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</si>
  <si>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</si>
  <si>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</si>
  <si>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</si>
  <si>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</si>
  <si>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</si>
  <si>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</si>
  <si>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</si>
  <si>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</si>
  <si>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</si>
  <si>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</si>
  <si>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</si>
  <si>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</si>
  <si>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</si>
  <si>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</si>
  <si>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</si>
  <si>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</si>
  <si>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</si>
  <si>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</si>
  <si>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</si>
  <si>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</si>
  <si>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</si>
  <si>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</si>
  <si>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</si>
  <si>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</si>
  <si>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</si>
  <si>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</si>
  <si>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</si>
  <si>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</si>
  <si>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</si>
  <si>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</si>
  <si>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</si>
  <si>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</si>
  <si>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</si>
  <si>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</si>
  <si>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</si>
  <si>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</si>
  <si>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</si>
  <si>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</si>
  <si>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</si>
  <si>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</si>
  <si>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</si>
  <si>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</si>
  <si>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</si>
  <si>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</si>
  <si>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</si>
  <si>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</si>
  <si>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</si>
  <si>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</si>
  <si>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</si>
  <si>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</si>
  <si>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</si>
  <si>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</si>
  <si>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</si>
  <si>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</si>
  <si>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</si>
  <si>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</si>
  <si>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</si>
  <si>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</si>
  <si>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</si>
  <si>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</si>
  <si>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</si>
  <si>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</si>
  <si>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</si>
  <si>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</si>
  <si>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</si>
  <si>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</si>
  <si>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</si>
  <si>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</si>
  <si>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</si>
  <si>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</si>
  <si>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</si>
  <si>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</si>
  <si>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</si>
  <si>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</si>
  <si>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</si>
  <si>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</si>
  <si>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</si>
  <si>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</si>
  <si>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</si>
  <si>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</si>
  <si>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</si>
  <si>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</si>
  <si>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</si>
  <si>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</si>
  <si>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</si>
  <si>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</si>
  <si>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</si>
  <si>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</si>
  <si>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</si>
  <si>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</si>
  <si>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</si>
  <si>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</si>
  <si>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</si>
  <si>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</si>
  <si>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</si>
  <si>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</si>
  <si>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</si>
  <si>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</si>
  <si>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</si>
  <si>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</si>
  <si>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</si>
  <si>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</si>
  <si>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</si>
  <si>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</si>
  <si>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</si>
  <si>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</si>
  <si>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</si>
  <si>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</si>
  <si>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</si>
  <si>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</si>
  <si>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</si>
  <si>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</si>
  <si>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</si>
  <si>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</si>
  <si>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</si>
  <si>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</si>
  <si>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</si>
  <si>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</si>
  <si>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</si>
  <si>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</si>
  <si>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</si>
  <si>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</si>
  <si>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</si>
  <si>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</si>
  <si>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</si>
  <si>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</si>
  <si>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</si>
  <si>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</si>
  <si>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</si>
  <si>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</si>
  <si>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</si>
  <si>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</si>
  <si>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</si>
  <si>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</si>
  <si>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</si>
  <si>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</si>
  <si>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</si>
  <si>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</si>
  <si>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</si>
  <si>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</si>
  <si>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</si>
  <si>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</si>
  <si>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</si>
  <si>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</si>
  <si>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</si>
  <si>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</si>
  <si>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</si>
  <si>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</si>
  <si>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</si>
  <si>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</si>
  <si>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</si>
  <si>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</si>
  <si>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</si>
  <si>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</si>
  <si>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</si>
  <si>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</si>
  <si>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</si>
  <si>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</si>
  <si>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</si>
  <si>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</si>
  <si>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</si>
  <si>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</si>
  <si>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</si>
  <si>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</si>
  <si>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</si>
  <si>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</si>
  <si>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</si>
  <si>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</si>
  <si>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</si>
  <si>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</si>
  <si>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</si>
  <si>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</si>
  <si>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</si>
  <si>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</si>
  <si>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</si>
  <si>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</si>
  <si>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</si>
  <si>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</si>
  <si>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</si>
  <si>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</si>
  <si>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</si>
  <si>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</si>
  <si>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</si>
  <si>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</si>
  <si>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</si>
  <si>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</si>
  <si>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</si>
  <si>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</si>
  <si>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</si>
  <si>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</si>
  <si>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</si>
  <si>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</si>
  <si>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</si>
  <si>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</si>
  <si>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</si>
  <si>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</si>
  <si>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</si>
  <si>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</si>
  <si>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</si>
  <si>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</si>
  <si>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</si>
  <si>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</si>
  <si>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</si>
  <si>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</si>
  <si>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</si>
  <si>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</si>
  <si>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</si>
  <si>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</si>
  <si>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</si>
  <si>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</si>
  <si>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</si>
  <si>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</si>
  <si>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</si>
  <si>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</si>
  <si>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</si>
  <si>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</si>
  <si>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</si>
  <si>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</si>
  <si>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</si>
  <si>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</si>
  <si>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</si>
  <si>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</si>
  <si>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</si>
  <si>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</si>
  <si>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</si>
  <si>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</si>
  <si>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</si>
  <si>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</si>
  <si>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</si>
  <si>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</si>
  <si>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</si>
  <si>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</si>
  <si>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</si>
  <si>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</si>
  <si>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</si>
  <si>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</si>
  <si>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</si>
  <si>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</si>
  <si>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</si>
  <si>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</si>
  <si>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</si>
  <si>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</si>
  <si>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</si>
  <si>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</si>
  <si>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</si>
  <si>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</si>
  <si>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</si>
  <si>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</si>
  <si>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</si>
  <si>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</si>
  <si>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</si>
  <si>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</si>
  <si>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</si>
  <si>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</si>
  <si>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</si>
  <si>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</si>
  <si>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</si>
  <si>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</si>
  <si>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</si>
  <si>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</si>
  <si>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</si>
  <si>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</si>
  <si>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</si>
  <si>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</si>
  <si>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</si>
  <si>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</si>
  <si>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</si>
  <si>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</si>
  <si>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</si>
  <si>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</si>
  <si>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</si>
  <si>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</si>
  <si>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</si>
  <si>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</si>
  <si>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</si>
  <si>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</si>
  <si>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</si>
  <si>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</si>
  <si>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</si>
  <si>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</si>
  <si>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</si>
  <si>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</si>
  <si>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</si>
  <si>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</si>
  <si>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</si>
  <si>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</si>
  <si>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</si>
  <si>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</si>
  <si>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</si>
  <si>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</si>
  <si>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</si>
  <si>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</si>
  <si>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</si>
  <si>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</si>
  <si>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</si>
  <si>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</si>
  <si>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</si>
  <si>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</si>
  <si>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</si>
  <si>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</si>
  <si>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</si>
  <si>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</si>
  <si>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</si>
  <si>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</si>
  <si>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</si>
  <si>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</si>
  <si>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</si>
  <si>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</si>
  <si>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</si>
  <si>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</si>
  <si>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</si>
  <si>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</si>
  <si>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</si>
  <si>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</si>
  <si>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</si>
  <si>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</si>
  <si>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</si>
  <si>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</si>
  <si>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</si>
  <si>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</si>
  <si>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</si>
  <si>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</si>
  <si>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</si>
  <si>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</si>
  <si>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</si>
  <si>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</si>
  <si>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</si>
  <si>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</si>
  <si>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</si>
  <si>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</si>
  <si>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</si>
  <si>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</si>
  <si>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</si>
  <si>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</si>
  <si>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</si>
  <si>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</si>
  <si>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</si>
  <si>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</si>
  <si>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</si>
  <si>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</si>
  <si>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</si>
  <si>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</si>
  <si>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</si>
  <si>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</si>
  <si>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</si>
  <si>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</si>
  <si>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</si>
  <si>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</si>
  <si>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</si>
  <si>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</si>
  <si>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</si>
  <si>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</si>
  <si>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</si>
  <si>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</si>
  <si>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</si>
  <si>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</si>
  <si>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</si>
  <si>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</si>
  <si>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</si>
  <si>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</si>
  <si>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</si>
  <si>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</si>
  <si>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</si>
  <si>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</si>
  <si>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</si>
  <si>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</si>
  <si>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</si>
  <si>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</si>
  <si>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</si>
  <si>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</si>
  <si>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</si>
  <si>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</si>
  <si>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</si>
  <si>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</si>
  <si>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</si>
  <si>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</si>
  <si>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</si>
  <si>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</si>
  <si>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</si>
  <si>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</si>
  <si>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</si>
  <si>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</si>
  <si>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</si>
  <si>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</si>
  <si>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</si>
  <si>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</si>
  <si>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</si>
  <si>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</si>
  <si>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</si>
  <si>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</si>
  <si>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</si>
  <si>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</si>
  <si>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</si>
  <si>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</si>
  <si>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</si>
  <si>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</si>
  <si>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</si>
  <si>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</si>
  <si>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</si>
  <si>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</si>
  <si>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</si>
  <si>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</si>
  <si>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</si>
  <si>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</si>
  <si>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</si>
  <si>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</si>
  <si>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</si>
  <si>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</si>
  <si>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</si>
  <si>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</si>
  <si>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</si>
  <si>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</si>
  <si>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</si>
  <si>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</si>
  <si>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</si>
  <si>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</si>
  <si>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</si>
  <si>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</si>
  <si>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</si>
  <si>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</si>
  <si>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</si>
  <si>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</si>
  <si>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</si>
  <si>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</si>
  <si>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</si>
  <si>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</si>
  <si>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</si>
  <si>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</si>
  <si>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</si>
  <si>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</si>
  <si>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</si>
  <si>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</si>
  <si>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</si>
  <si>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</si>
  <si>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</si>
  <si>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</si>
  <si>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</si>
  <si>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</si>
  <si>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</si>
  <si>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</si>
  <si>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</si>
  <si>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</si>
  <si>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</si>
  <si>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</si>
  <si>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</si>
  <si>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</si>
  <si>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</si>
  <si>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</si>
  <si>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</si>
  <si>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</si>
  <si>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</si>
  <si>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</si>
  <si>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</si>
  <si>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</si>
  <si>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</si>
  <si>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</si>
  <si>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</si>
  <si>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</si>
  <si>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</si>
  <si>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</si>
  <si>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</si>
  <si>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</si>
  <si>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</si>
  <si>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</si>
  <si>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</si>
  <si>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</si>
  <si>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</si>
  <si>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</si>
  <si>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</si>
  <si>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</si>
  <si>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</si>
  <si>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</si>
  <si>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</si>
  <si>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</si>
  <si>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</si>
  <si>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</si>
  <si>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</si>
  <si>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</si>
  <si>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</si>
  <si>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</si>
  <si>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</si>
  <si>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</si>
  <si>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</si>
  <si>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</si>
  <si>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</si>
  <si>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</si>
  <si>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</si>
  <si>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</si>
  <si>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</si>
  <si>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</si>
  <si>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</si>
  <si>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</si>
  <si>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</si>
  <si>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</si>
  <si>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</si>
  <si>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</si>
  <si>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</si>
  <si>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</si>
  <si>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</si>
  <si>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</si>
  <si>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</si>
  <si>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</si>
  <si>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</si>
  <si>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</si>
  <si>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</si>
  <si>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</si>
  <si>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</si>
  <si>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</si>
  <si>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</si>
  <si>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</si>
  <si>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</si>
  <si>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</si>
  <si>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</si>
  <si>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</si>
  <si>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</si>
  <si>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</si>
  <si>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</si>
  <si>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</si>
  <si>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</si>
  <si>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</si>
  <si>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</si>
  <si>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</si>
  <si>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</si>
  <si>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</si>
  <si>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</si>
  <si>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</si>
  <si>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</si>
  <si>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</si>
  <si>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</si>
  <si>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</si>
  <si>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</si>
  <si>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</si>
  <si>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</si>
  <si>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</si>
  <si>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</si>
  <si>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</si>
  <si>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</si>
  <si>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</si>
  <si>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</si>
  <si>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</si>
  <si>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</si>
  <si>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</si>
  <si>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</si>
  <si>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</si>
  <si>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</si>
  <si>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</si>
  <si>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</si>
  <si>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</si>
  <si>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</si>
  <si>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</si>
  <si>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</si>
  <si>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</si>
  <si>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</si>
  <si>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</si>
  <si>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</si>
  <si>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</si>
  <si>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</si>
  <si>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</si>
  <si>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</si>
  <si>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</si>
  <si>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</si>
  <si>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</si>
  <si>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</si>
  <si>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</si>
  <si>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</si>
  <si>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</si>
  <si>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</si>
  <si>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</si>
  <si>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</si>
  <si>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</si>
  <si>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</si>
  <si>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</si>
  <si>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</si>
  <si>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</si>
  <si>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</si>
  <si>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</si>
  <si>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</si>
  <si>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</si>
  <si>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</si>
  <si>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</si>
  <si>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</si>
  <si>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</si>
  <si>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</si>
  <si>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</si>
  <si>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</si>
  <si>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</si>
  <si>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</si>
  <si>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</si>
  <si>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</si>
  <si>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</si>
  <si>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</si>
  <si>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</si>
  <si>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</si>
  <si>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</si>
  <si>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</si>
  <si>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</si>
  <si>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</si>
  <si>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</si>
  <si>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</si>
  <si>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</si>
  <si>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</si>
  <si>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</si>
  <si>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</si>
  <si>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</si>
  <si>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</si>
  <si>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</si>
  <si>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</si>
  <si>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</si>
  <si>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</si>
  <si>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</si>
  <si>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</si>
  <si>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</si>
  <si>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</si>
  <si>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</si>
  <si>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</si>
  <si>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</si>
  <si>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</si>
  <si>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</si>
  <si>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</si>
  <si>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</si>
  <si>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</si>
  <si>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</si>
  <si>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</si>
  <si>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</si>
  <si>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</si>
  <si>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</si>
  <si>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</si>
  <si>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</si>
  <si>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</si>
  <si>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</si>
  <si>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</si>
  <si>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</si>
  <si>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</si>
  <si>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</si>
  <si>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</si>
  <si>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</si>
  <si>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</si>
  <si>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</si>
  <si>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</si>
  <si>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</si>
  <si>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</si>
  <si>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</si>
  <si>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</si>
  <si>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</si>
  <si>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</si>
  <si>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</si>
  <si>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</si>
  <si>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</si>
  <si>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</si>
  <si>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</si>
  <si>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</si>
  <si>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</si>
  <si>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</si>
  <si>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</si>
  <si>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</si>
  <si>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</si>
  <si>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</si>
  <si>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</si>
  <si>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</si>
  <si>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</si>
  <si>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</si>
  <si>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</si>
  <si>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</si>
  <si>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</si>
  <si>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</si>
  <si>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</si>
  <si>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</si>
  <si>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</si>
  <si>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</si>
  <si>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</si>
  <si>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</si>
  <si>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</si>
  <si>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</si>
  <si>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</si>
  <si>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</si>
  <si>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</si>
  <si>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</si>
  <si>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</si>
  <si>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</si>
  <si>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</si>
  <si>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</si>
  <si>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</si>
  <si>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</si>
  <si>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</si>
  <si>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</si>
  <si>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</si>
  <si>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</si>
  <si>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</si>
  <si>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</si>
  <si>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</si>
  <si>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</si>
  <si>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</si>
  <si>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</si>
  <si>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</si>
  <si>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</si>
  <si>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</si>
  <si>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</si>
  <si>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</si>
  <si>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</si>
  <si>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</si>
  <si>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</si>
  <si>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</si>
  <si>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</si>
  <si>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</si>
  <si>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</si>
  <si>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</si>
  <si>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</si>
  <si>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</si>
  <si>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</si>
  <si>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</si>
  <si>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</si>
  <si>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</si>
  <si>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</si>
  <si>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</si>
  <si>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</si>
  <si>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</si>
  <si>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</si>
  <si>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</si>
  <si>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</si>
  <si>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</si>
  <si>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</si>
  <si>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</si>
  <si>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</si>
  <si>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</si>
  <si>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</si>
  <si>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</si>
  <si>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</si>
  <si>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</si>
  <si>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Row Labels</t>
  </si>
  <si>
    <t>Grand Total</t>
  </si>
  <si>
    <t>Average of Age</t>
  </si>
  <si>
    <t>Sum of CF_attrition count</t>
  </si>
  <si>
    <t>Attrition rate</t>
  </si>
  <si>
    <t>Active Employee</t>
  </si>
  <si>
    <t>Total employees</t>
  </si>
  <si>
    <t>Avg. Age</t>
  </si>
  <si>
    <t>Average of Job Satisfaction</t>
  </si>
  <si>
    <t>Rating</t>
  </si>
  <si>
    <t>Balance rating</t>
  </si>
  <si>
    <t>Count of Employee Count</t>
  </si>
  <si>
    <t>Count of CF_attrition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</si>
</sst>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 fontId="0" fillId="0" borderId="8" xfId="0" applyNumberForma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1" fontId="0" fillId="0" borderId="0" xfId="0" applyNumberFormat="1" applyAlignment="1">
      <alignment horizontal="center"/>
    </xf>
    <xf numFmtId="2" fontId="0" fillId="0" borderId="0" xfId="0" applyNumberFormat="1"/>
    <xf numFmtId="9" fontId="0" fillId="0" borderId="0" xfId="1" applyFont="1"/>
    <xf numFmtId="0" fontId="2" fillId="0" borderId="9" xfId="0" applyFont="1" applyBorder="1" applyAlignment="1">
      <alignment horizontal="center"/>
    </xf>
    <xf numFmtId="0" fontId="2" fillId="0" borderId="7" xfId="0" applyFont="1" applyBorder="1" applyAlignment="1">
      <alignment horizontal="center"/>
    </xf>
    <xf numFmtId="0" fontId="2" fillId="0" borderId="0" xfId="0" applyFont="1"/>
    <xf numFmtId="2" fontId="0" fillId="0" borderId="0" xfId="0" applyNumberFormat="1" applyAlignment="1">
      <alignment horizontal="center"/>
    </xf>
    <xf numFmtId="0" fontId="0" fillId="0" borderId="6" xfId="0" applyNumberFormat="1" applyBorder="1" applyAlignment="1">
      <alignment horizontal="center"/>
    </xf>
    <xf numFmtId="0" fontId="0" fillId="0" borderId="10" xfId="0" applyNumberFormat="1" applyBorder="1" applyAlignment="1">
      <alignment horizontal="center"/>
    </xf>
    <xf numFmtId="0" fontId="0" fillId="0" borderId="4" xfId="0" applyNumberFormat="1" applyBorder="1" applyAlignment="1">
      <alignment horizontal="center"/>
    </xf>
    <xf numFmtId="0" fontId="0" fillId="0" borderId="3" xfId="0" applyNumberFormat="1" applyBorder="1" applyAlignment="1">
      <alignment horizontal="center"/>
    </xf>
    <xf numFmtId="0" fontId="0" fillId="0" borderId="5" xfId="0" applyNumberFormat="1" applyBorder="1" applyAlignment="1">
      <alignment horizontal="center"/>
    </xf>
  </cellXfs>
  <cellStyles count="2">
    <cellStyle name="Normal" xfId="0" builtinId="0"/>
    <cellStyle name="Percent" xfId="1" builtinId="5"/>
  </cellStyles>
  <dxfs count="116">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5" tint="0.59996337778862885"/>
        </patternFill>
      </fill>
    </dxf>
    <dxf>
      <font>
        <sz val="8"/>
        <color theme="1" tint="4.9989318521683403E-2"/>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5" tint="0.59996337778862885"/>
        </patternFill>
      </fill>
    </dxf>
    <dxf>
      <alignment horizontal="center"/>
    </dxf>
    <dxf>
      <alignment horizontal="center"/>
    </dxf>
    <dxf>
      <numFmt numFmtId="1" formatCode="0"/>
    </dxf>
    <dxf>
      <alignment horizontal="center"/>
    </dxf>
    <dxf>
      <alignment horizontal="center"/>
    </dxf>
    <dxf>
      <fill>
        <patternFill>
          <bgColor rgb="FF7030A0"/>
        </patternFill>
      </fill>
      <border>
        <left style="thin">
          <color auto="1"/>
        </left>
        <right style="thin">
          <color auto="1"/>
        </right>
        <top style="thin">
          <color auto="1"/>
        </top>
        <bottom style="thin">
          <color auto="1"/>
        </bottom>
      </border>
    </dxf>
    <dxf>
      <font>
        <sz val="9"/>
        <color theme="3" tint="0.14996795556505021"/>
        <name val="Segoe UI Semibold"/>
        <family val="2"/>
        <scheme val="none"/>
      </font>
      <fill>
        <patternFill>
          <bgColor rgb="FF7030A0"/>
        </patternFill>
      </fill>
      <border>
        <left style="thin">
          <color auto="1"/>
        </left>
        <right style="thin">
          <color auto="1"/>
        </right>
        <top style="thin">
          <color auto="1"/>
        </top>
        <bottom style="thin">
          <color auto="1"/>
        </bottom>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7">
    <tableStyle name="Data-style" pivot="0" count="3" xr9:uid="{00000000-0011-0000-FFFF-FFFF00000000}">
      <tableStyleElement type="headerRow" dxfId="115"/>
      <tableStyleElement type="firstRowStripe" dxfId="114"/>
      <tableStyleElement type="secondRowStripe" dxfId="113"/>
    </tableStyle>
    <tableStyle name="Slicer Style 1" pivot="0" table="0" count="4" xr9:uid="{0A05D2C1-D85D-426B-A422-D84BF97F7FC2}">
      <tableStyleElement type="wholeTable" dxfId="112"/>
      <tableStyleElement type="headerRow" dxfId="111"/>
    </tableStyle>
    <tableStyle name="Slicer Style 2" pivot="0" table="0" count="8" xr9:uid="{36EB4BC6-9258-4293-9451-DFFBA1F2F0C8}">
      <tableStyleElement type="wholeTable" dxfId="105"/>
    </tableStyle>
    <tableStyle name="Slicer Style 3" pivot="0" table="0" count="4" xr9:uid="{3993B6F7-5C19-47DF-9B27-FD8C1D612CCE}"/>
    <tableStyle name="Slicer Style 4" pivot="0" table="0" count="2" xr9:uid="{0746F043-37D8-49E1-BD28-2954EAC4B99B}"/>
    <tableStyle name="Slicer Style 5" pivot="0" table="0" count="1" xr9:uid="{87A6592F-5BEA-4AEF-BDF3-A03CDDADF54C}"/>
    <tableStyle name="Slicer Style 6" pivot="0" table="0" count="7" xr9:uid="{F3AD5900-8EF8-41CD-B65A-6099E1B40B8F}">
      <tableStyleElement type="wholeTable" dxfId="84"/>
      <tableStyleElement type="headerRow" dxfId="85"/>
    </tableStyle>
  </tableStyles>
  <colors>
    <mruColors>
      <color rgb="FF9E009E"/>
    </mruColors>
  </colors>
  <extLst>
    <ext xmlns:x14="http://schemas.microsoft.com/office/spreadsheetml/2009/9/main" uri="{46F421CA-312F-682f-3DD2-61675219B42D}">
      <x14:dxfs count="30">
        <dxf>
          <font>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b val="0"/>
            <i val="0"/>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b/>
            <i val="0"/>
            <sz val="8"/>
            <color theme="1"/>
            <name val="Arial"/>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sz val="8"/>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b/>
            <i val="0"/>
            <sz val="8"/>
            <color theme="1"/>
            <name val="Arial"/>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b val="0"/>
            <i val="0"/>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sz val="8"/>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sz val="8"/>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font>
            <b val="0"/>
            <i val="0"/>
            <sz val="8"/>
            <color theme="1"/>
            <name val="Arial Black"/>
            <family val="2"/>
            <scheme val="none"/>
          </font>
          <fill>
            <gradientFill degree="90">
              <stop position="0">
                <color theme="5" tint="-0.25098422193060094"/>
              </stop>
              <stop position="1">
                <color theme="9" tint="-0.49803155613879818"/>
              </stop>
            </gradient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sz val="8"/>
          </font>
          <border>
            <left style="thin">
              <color auto="1"/>
            </left>
            <right style="thin">
              <color auto="1"/>
            </right>
            <top style="thin">
              <color auto="1"/>
            </top>
            <bottom style="thin">
              <color auto="1"/>
            </bottom>
          </border>
        </dxf>
        <dxf>
          <font>
            <b/>
            <i val="0"/>
            <sz val="8"/>
            <color theme="1" tint="4.9989318521683403E-2"/>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i val="0"/>
            <sz val="8"/>
            <name val="Calibri"/>
            <family val="2"/>
            <scheme val="minor"/>
          </font>
          <border>
            <left style="thin">
              <color auto="1"/>
            </left>
            <right style="thin">
              <color auto="1"/>
            </right>
            <top style="thin">
              <color auto="1"/>
            </top>
            <bottom style="thin">
              <color auto="1"/>
            </bottom>
          </border>
        </dxf>
        <dxf>
          <font>
            <b/>
            <i val="0"/>
            <sz val="8"/>
            <color theme="1" tint="4.9989318521683403E-2"/>
            <name val="Segoe UI"/>
            <family val="2"/>
            <scheme val="none"/>
          </font>
        </dxf>
        <dxf>
          <fill>
            <patternFill>
              <bgColor theme="5" tint="0.39994506668294322"/>
            </patternFill>
          </fill>
        </dxf>
        <dxf>
          <fill>
            <patternFill>
              <bgColor theme="5" tint="0.3999450666829432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rgb="FF7030A0"/>
            </patternFill>
          </fill>
          <border>
            <left style="thin">
              <color auto="1"/>
            </left>
            <right style="thin">
              <color auto="1"/>
            </right>
            <top style="thin">
              <color auto="1"/>
            </top>
            <bottom style="thin">
              <color auto="1"/>
            </bottom>
          </border>
        </dxf>
        <dxf>
          <fill>
            <patternFill>
              <bgColor rgb="FF7030A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5">
        <x14:slicerStyle name="Slicer Style 1">
          <x14:slicerStyleElements>
            <x14:slicerStyleElement type="unselectedItemWithData" dxfId="28"/>
            <x14:slicerStyleElement type="selectedItemWithData" dxfId="29"/>
          </x14:slicerStyleElements>
        </x14:slicerStyle>
        <x14:slicerStyle name="Slicer Style 2">
          <x14:slicerStyleElements>
            <x14:slicerStyleElement type="unselectedItemWithData" dxfId="20"/>
            <x14:slicerStyleElement type="unselectedItemWithNoData" dxfId="19"/>
            <x14:slicerStyleElement type="selectedItemWithData" dxfId="18"/>
            <x14:slicerStyleElement type="selectedItemWithNoData" dxfId="17"/>
            <x14:slicerStyleElement type="hoveredUnselectedItemWithData" dxfId="16"/>
            <x14:slicerStyleElement type="hoveredSelectedItemWithData" dxfId="15"/>
            <x14:slicerStyleElement type="hoveredSelectedItemWithNoData" dxfId="14"/>
          </x14:slicerStyleElements>
        </x14:slicerStyle>
        <x14:slicerStyle name="Slicer Style 3">
          <x14:slicerStyleElements>
            <x14:slicerStyleElement type="unselectedItemWithData" dxfId="25"/>
            <x14:slicerStyleElement type="selectedItemWithData" dxfId="27"/>
            <x14:slicerStyleElement type="selectedItemWithNoData" dxfId="26"/>
            <x14:slicerStyleElement type="hoveredSelectedItemWithData" dxfId="24"/>
          </x14:slicerStyleElements>
        </x14:slicerStyle>
        <x14:slicerStyle name="Slicer Style 4">
          <x14:slicerStyleElements>
            <x14:slicerStyleElement type="selectedItemWithData" dxfId="23"/>
            <x14:slicerStyleElement type="hoveredSelectedItemWithData" dxfId="22"/>
          </x14:slicerStyleElements>
        </x14:slicerStyle>
        <x14:slicerStyle name="Slicer Style 5">
          <x14:slicerStyleElements>
            <x14:slicerStyleElement type="selectedItemWithData" dxfId="21"/>
          </x14:slicerStyleElements>
        </x14:slicerStyle>
        <x14:slicerStyle name="Slicer Style 6">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38-43C7-B4BF-448AE8248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38-43C7-B4BF-448AE8248376}"/>
              </c:ext>
            </c:extLst>
          </c:dPt>
          <c:cat>
            <c:strRef>
              <c:f>KPI!$A$17:$A$18</c:f>
              <c:strCache>
                <c:ptCount val="2"/>
                <c:pt idx="0">
                  <c:v>Rating</c:v>
                </c:pt>
                <c:pt idx="1">
                  <c:v>Balance rating</c:v>
                </c:pt>
              </c:strCache>
            </c:strRef>
          </c:cat>
          <c:val>
            <c:numRef>
              <c:f>KPI!$B$17:$B$18</c:f>
              <c:numCache>
                <c:formatCode>0.00</c:formatCode>
                <c:ptCount val="2"/>
                <c:pt idx="0">
                  <c:v>3.2073170731707319</c:v>
                </c:pt>
                <c:pt idx="1">
                  <c:v>0.79268292682926811</c:v>
                </c:pt>
              </c:numCache>
            </c:numRef>
          </c:val>
          <c:extLst>
            <c:ext xmlns:c16="http://schemas.microsoft.com/office/drawing/2014/chart" uri="{C3380CC4-5D6E-409C-BE32-E72D297353CC}">
              <c16:uniqueId val="{00000000-9918-4CCE-BCFD-C64031576B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4507470650449"/>
          <c:y val="0.10025062656641603"/>
          <c:w val="0.8299164093166187"/>
          <c:h val="0.65716022339312852"/>
        </c:manualLayout>
      </c:layout>
      <c:barChart>
        <c:barDir val="bar"/>
        <c:grouping val="stacked"/>
        <c:varyColors val="0"/>
        <c:ser>
          <c:idx val="0"/>
          <c:order val="0"/>
          <c:tx>
            <c:strRef>
              <c:f>KPI!$A$17</c:f>
              <c:strCache>
                <c:ptCount val="1"/>
                <c:pt idx="0">
                  <c:v>Rating</c:v>
                </c:pt>
              </c:strCache>
            </c:strRef>
          </c:tx>
          <c:spPr>
            <a:solidFill>
              <a:schemeClr val="accent1"/>
            </a:solidFill>
            <a:ln>
              <a:noFill/>
            </a:ln>
            <a:effectLst/>
          </c:spPr>
          <c:invertIfNegative val="0"/>
          <c:val>
            <c:numRef>
              <c:f>KPI!$B$17</c:f>
              <c:numCache>
                <c:formatCode>0.00</c:formatCode>
                <c:ptCount val="1"/>
                <c:pt idx="0">
                  <c:v>3.2073170731707319</c:v>
                </c:pt>
              </c:numCache>
            </c:numRef>
          </c:val>
          <c:extLst>
            <c:ext xmlns:c16="http://schemas.microsoft.com/office/drawing/2014/chart" uri="{C3380CC4-5D6E-409C-BE32-E72D297353CC}">
              <c16:uniqueId val="{00000000-8548-4AFD-A153-A378DBDFD3B4}"/>
            </c:ext>
          </c:extLst>
        </c:ser>
        <c:ser>
          <c:idx val="1"/>
          <c:order val="1"/>
          <c:tx>
            <c:strRef>
              <c:f>KPI!$A$18</c:f>
              <c:strCache>
                <c:ptCount val="1"/>
                <c:pt idx="0">
                  <c:v>Balance rating</c:v>
                </c:pt>
              </c:strCache>
            </c:strRef>
          </c:tx>
          <c:spPr>
            <a:solidFill>
              <a:schemeClr val="accent2"/>
            </a:solidFill>
            <a:ln>
              <a:noFill/>
            </a:ln>
            <a:effectLst/>
          </c:spPr>
          <c:invertIfNegative val="0"/>
          <c:val>
            <c:numRef>
              <c:f>KPI!$B$18</c:f>
              <c:numCache>
                <c:formatCode>0.00</c:formatCode>
                <c:ptCount val="1"/>
                <c:pt idx="0">
                  <c:v>0.79268292682926811</c:v>
                </c:pt>
              </c:numCache>
            </c:numRef>
          </c:val>
          <c:extLst>
            <c:ext xmlns:c16="http://schemas.microsoft.com/office/drawing/2014/chart" uri="{C3380CC4-5D6E-409C-BE32-E72D297353CC}">
              <c16:uniqueId val="{00000004-8548-4AFD-A153-A378DBDFD3B4}"/>
            </c:ext>
          </c:extLst>
        </c:ser>
        <c:dLbls>
          <c:showLegendKey val="0"/>
          <c:showVal val="0"/>
          <c:showCatName val="0"/>
          <c:showSerName val="0"/>
          <c:showPercent val="0"/>
          <c:showBubbleSize val="0"/>
        </c:dLbls>
        <c:gapWidth val="50"/>
        <c:overlap val="100"/>
        <c:axId val="1353049184"/>
        <c:axId val="1353041024"/>
      </c:barChart>
      <c:catAx>
        <c:axId val="1353049184"/>
        <c:scaling>
          <c:orientation val="minMax"/>
        </c:scaling>
        <c:delete val="1"/>
        <c:axPos val="l"/>
        <c:numFmt formatCode="General" sourceLinked="1"/>
        <c:majorTickMark val="out"/>
        <c:minorTickMark val="none"/>
        <c:tickLblPos val="nextTo"/>
        <c:crossAx val="1353041024"/>
        <c:crosses val="autoZero"/>
        <c:auto val="1"/>
        <c:lblAlgn val="ctr"/>
        <c:lblOffset val="100"/>
        <c:noMultiLvlLbl val="0"/>
      </c:catAx>
      <c:valAx>
        <c:axId val="1353041024"/>
        <c:scaling>
          <c:orientation val="minMax"/>
        </c:scaling>
        <c:delete val="1"/>
        <c:axPos val="b"/>
        <c:numFmt formatCode="0.00" sourceLinked="1"/>
        <c:majorTickMark val="out"/>
        <c:minorTickMark val="none"/>
        <c:tickLblPos val="nextTo"/>
        <c:crossAx val="1353049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91-4277-8E2D-C92B5914E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91-4277-8E2D-C92B5914E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91-4277-8E2D-C92B5914EEBD}"/>
              </c:ext>
            </c:extLst>
          </c:dPt>
          <c:cat>
            <c:strRef>
              <c:f>KPI!$A$43:$A$45</c:f>
              <c:strCache>
                <c:ptCount val="3"/>
                <c:pt idx="0">
                  <c:v>Row Labels</c:v>
                </c:pt>
                <c:pt idx="1">
                  <c:v>Female</c:v>
                </c:pt>
                <c:pt idx="2">
                  <c:v>Male</c:v>
                </c:pt>
              </c:strCache>
            </c:strRef>
          </c:cat>
          <c:val>
            <c:numRef>
              <c:f>KPI!$B$43:$B$45</c:f>
              <c:numCache>
                <c:formatCode>General</c:formatCode>
                <c:ptCount val="3"/>
                <c:pt idx="0">
                  <c:v>0</c:v>
                </c:pt>
                <c:pt idx="1">
                  <c:v>29</c:v>
                </c:pt>
                <c:pt idx="2">
                  <c:v>53</c:v>
                </c:pt>
              </c:numCache>
            </c:numRef>
          </c:val>
          <c:extLst>
            <c:ext xmlns:c16="http://schemas.microsoft.com/office/drawing/2014/chart" uri="{C3380CC4-5D6E-409C-BE32-E72D297353CC}">
              <c16:uniqueId val="{00000000-537D-4774-A929-ECA25CE10F0E}"/>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D91-4277-8E2D-C92B5914E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D91-4277-8E2D-C92B5914E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D91-4277-8E2D-C92B5914EEBD}"/>
              </c:ext>
            </c:extLst>
          </c:dPt>
          <c:cat>
            <c:strRef>
              <c:f>KPI!$A$43:$A$45</c:f>
              <c:strCache>
                <c:ptCount val="3"/>
                <c:pt idx="0">
                  <c:v>Row Labels</c:v>
                </c:pt>
                <c:pt idx="1">
                  <c:v>Female</c:v>
                </c:pt>
                <c:pt idx="2">
                  <c:v>Male</c:v>
                </c:pt>
              </c:strCache>
            </c:strRef>
          </c:cat>
          <c:val>
            <c:numRef>
              <c:f>KPI!$C$43:$C$45</c:f>
              <c:numCache>
                <c:formatCode>0%</c:formatCode>
                <c:ptCount val="3"/>
                <c:pt idx="1">
                  <c:v>1.9727891156462583E-2</c:v>
                </c:pt>
                <c:pt idx="2">
                  <c:v>3.6054421768707483E-2</c:v>
                </c:pt>
              </c:numCache>
            </c:numRef>
          </c:val>
          <c:extLst>
            <c:ext xmlns:c16="http://schemas.microsoft.com/office/drawing/2014/chart" uri="{C3380CC4-5D6E-409C-BE32-E72D297353CC}">
              <c16:uniqueId val="{00000001-537D-4774-A929-ECA25CE10F0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EC-4366-B58C-8DAEFAAA41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EC-4366-B58C-8DAEFAAA41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EC-4366-B58C-8DAEFAAA4118}"/>
              </c:ext>
            </c:extLst>
          </c:dPt>
          <c:cat>
            <c:strRef>
              <c:f>KPI!$A$43:$A$45</c:f>
              <c:strCache>
                <c:ptCount val="3"/>
                <c:pt idx="0">
                  <c:v>Row Labels</c:v>
                </c:pt>
                <c:pt idx="1">
                  <c:v>Female</c:v>
                </c:pt>
                <c:pt idx="2">
                  <c:v>Male</c:v>
                </c:pt>
              </c:strCache>
            </c:strRef>
          </c:cat>
          <c:val>
            <c:numRef>
              <c:f>KPI!$B$43:$B$45</c:f>
              <c:numCache>
                <c:formatCode>General</c:formatCode>
                <c:ptCount val="3"/>
                <c:pt idx="0">
                  <c:v>0</c:v>
                </c:pt>
                <c:pt idx="1">
                  <c:v>29</c:v>
                </c:pt>
                <c:pt idx="2">
                  <c:v>53</c:v>
                </c:pt>
              </c:numCache>
            </c:numRef>
          </c:val>
          <c:extLst>
            <c:ext xmlns:c16="http://schemas.microsoft.com/office/drawing/2014/chart" uri="{C3380CC4-5D6E-409C-BE32-E72D297353CC}">
              <c16:uniqueId val="{00000006-01EC-4366-B58C-8DAEFAAA4118}"/>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1EC-4366-B58C-8DAEFAAA41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1EC-4366-B58C-8DAEFAAA41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1EC-4366-B58C-8DAEFAAA4118}"/>
              </c:ext>
            </c:extLst>
          </c:dPt>
          <c:cat>
            <c:strRef>
              <c:f>KPI!$A$43:$A$45</c:f>
              <c:strCache>
                <c:ptCount val="3"/>
                <c:pt idx="0">
                  <c:v>Row Labels</c:v>
                </c:pt>
                <c:pt idx="1">
                  <c:v>Female</c:v>
                </c:pt>
                <c:pt idx="2">
                  <c:v>Male</c:v>
                </c:pt>
              </c:strCache>
            </c:strRef>
          </c:cat>
          <c:val>
            <c:numRef>
              <c:f>KPI!$C$43:$C$45</c:f>
              <c:numCache>
                <c:formatCode>0%</c:formatCode>
                <c:ptCount val="3"/>
                <c:pt idx="1">
                  <c:v>1.9727891156462583E-2</c:v>
                </c:pt>
                <c:pt idx="2">
                  <c:v>3.6054421768707483E-2</c:v>
                </c:pt>
              </c:numCache>
            </c:numRef>
          </c:val>
          <c:extLst>
            <c:ext xmlns:c16="http://schemas.microsoft.com/office/drawing/2014/chart" uri="{C3380CC4-5D6E-409C-BE32-E72D297353CC}">
              <c16:uniqueId val="{0000000D-01EC-4366-B58C-8DAEFAAA411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KPI!$A$56:$A$57</c:f>
              <c:strCache>
                <c:ptCount val="1"/>
                <c:pt idx="0">
                  <c:v>Other</c:v>
                </c:pt>
              </c:strCache>
            </c:strRef>
          </c:cat>
          <c:val>
            <c:numRef>
              <c:f>KPI!$B$56:$B$57</c:f>
              <c:numCache>
                <c:formatCode>General</c:formatCode>
                <c:ptCount val="1"/>
                <c:pt idx="0">
                  <c:v>11</c:v>
                </c:pt>
              </c:numCache>
            </c:numRef>
          </c:val>
          <c:extLst>
            <c:ext xmlns:c16="http://schemas.microsoft.com/office/drawing/2014/chart" uri="{C3380CC4-5D6E-409C-BE32-E72D297353CC}">
              <c16:uniqueId val="{00000000-F0A2-4415-8EB4-277A1AF2AF62}"/>
            </c:ext>
          </c:extLst>
        </c:ser>
        <c:dLbls>
          <c:dLblPos val="outEnd"/>
          <c:showLegendKey val="0"/>
          <c:showVal val="1"/>
          <c:showCatName val="0"/>
          <c:showSerName val="0"/>
          <c:showPercent val="0"/>
          <c:showBubbleSize val="0"/>
        </c:dLbls>
        <c:gapWidth val="182"/>
        <c:axId val="1038596208"/>
        <c:axId val="782096864"/>
      </c:barChart>
      <c:catAx>
        <c:axId val="103859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96864"/>
        <c:crosses val="autoZero"/>
        <c:auto val="1"/>
        <c:lblAlgn val="ctr"/>
        <c:lblOffset val="100"/>
        <c:noMultiLvlLbl val="0"/>
      </c:catAx>
      <c:valAx>
        <c:axId val="78209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chemeClr val="tx2">
              <a:lumMod val="65000"/>
              <a:lumOff val="35000"/>
            </a:schemeClr>
          </a:solidFill>
          <a:ln w="19050">
            <a:solidFill>
              <a:schemeClr val="lt1"/>
            </a:solidFill>
          </a:ln>
          <a:effectLst/>
        </c:spPr>
      </c:pivotFmt>
    </c:pivotFmts>
    <c:plotArea>
      <c:layout/>
      <c:pieChart>
        <c:varyColors val="1"/>
        <c:ser>
          <c:idx val="0"/>
          <c:order val="0"/>
          <c:tx>
            <c:strRef>
              <c:f>KPI!$B$82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2-2259-4BF6-B7B9-30A54BCDD09F}"/>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2259-4BF6-B7B9-30A54BCDD09F}"/>
              </c:ext>
            </c:extLst>
          </c:dPt>
          <c:dPt>
            <c:idx val="2"/>
            <c:bubble3D val="0"/>
            <c:spPr>
              <a:solidFill>
                <a:schemeClr val="tx2">
                  <a:lumMod val="65000"/>
                  <a:lumOff val="35000"/>
                </a:schemeClr>
              </a:solidFill>
              <a:ln w="19050">
                <a:solidFill>
                  <a:schemeClr val="lt1"/>
                </a:solidFill>
              </a:ln>
              <a:effectLst/>
            </c:spPr>
            <c:extLst>
              <c:ext xmlns:c16="http://schemas.microsoft.com/office/drawing/2014/chart" uri="{C3380CC4-5D6E-409C-BE32-E72D297353CC}">
                <c16:uniqueId val="{00000004-2259-4BF6-B7B9-30A54BCDD09F}"/>
              </c:ext>
            </c:extLst>
          </c:dPt>
          <c:cat>
            <c:strRef>
              <c:f>KPI!$A$83:$A$86</c:f>
              <c:strCache>
                <c:ptCount val="3"/>
                <c:pt idx="0">
                  <c:v>HR</c:v>
                </c:pt>
                <c:pt idx="1">
                  <c:v>R&amp;D</c:v>
                </c:pt>
                <c:pt idx="2">
                  <c:v>Sales</c:v>
                </c:pt>
              </c:strCache>
            </c:strRef>
          </c:cat>
          <c:val>
            <c:numRef>
              <c:f>KPI!$B$83:$B$86</c:f>
              <c:numCache>
                <c:formatCode>General</c:formatCode>
                <c:ptCount val="3"/>
                <c:pt idx="0">
                  <c:v>0</c:v>
                </c:pt>
                <c:pt idx="1">
                  <c:v>7</c:v>
                </c:pt>
                <c:pt idx="2">
                  <c:v>4</c:v>
                </c:pt>
              </c:numCache>
            </c:numRef>
          </c:val>
          <c:extLst>
            <c:ext xmlns:c16="http://schemas.microsoft.com/office/drawing/2014/chart" uri="{C3380CC4-5D6E-409C-BE32-E72D297353CC}">
              <c16:uniqueId val="{00000000-2259-4BF6-B7B9-30A54BCDD0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DATA_Excel.xlsx]KPI!PivotTable9</c:name>
    <c:fmtId val="10"/>
  </c:pivotSource>
  <c:chart>
    <c:autoTitleDeleted val="1"/>
    <c:pivotFmts>
      <c:pivotFmt>
        <c:idx val="0"/>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KPI!$C$92</c:f>
              <c:strCache>
                <c:ptCount val="1"/>
                <c:pt idx="0">
                  <c:v>Total</c:v>
                </c:pt>
              </c:strCache>
            </c:strRef>
          </c:tx>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KPI!$B$93:$B$97</c:f>
              <c:strCache>
                <c:ptCount val="4"/>
                <c:pt idx="0">
                  <c:v>25 - 34</c:v>
                </c:pt>
                <c:pt idx="1">
                  <c:v>35 - 44</c:v>
                </c:pt>
                <c:pt idx="2">
                  <c:v>45 - 54</c:v>
                </c:pt>
                <c:pt idx="3">
                  <c:v>Under 25</c:v>
                </c:pt>
              </c:strCache>
            </c:strRef>
          </c:cat>
          <c:val>
            <c:numRef>
              <c:f>KPI!$C$93:$C$97</c:f>
              <c:numCache>
                <c:formatCode>General</c:formatCode>
                <c:ptCount val="4"/>
                <c:pt idx="0">
                  <c:v>4</c:v>
                </c:pt>
                <c:pt idx="1">
                  <c:v>4</c:v>
                </c:pt>
                <c:pt idx="2">
                  <c:v>1</c:v>
                </c:pt>
                <c:pt idx="3">
                  <c:v>2</c:v>
                </c:pt>
              </c:numCache>
            </c:numRef>
          </c:val>
          <c:extLst>
            <c:ext xmlns:c16="http://schemas.microsoft.com/office/drawing/2014/chart" uri="{C3380CC4-5D6E-409C-BE32-E72D297353CC}">
              <c16:uniqueId val="{00000000-A531-4FF9-ACB4-B7885F3DCAD1}"/>
            </c:ext>
          </c:extLst>
        </c:ser>
        <c:dLbls>
          <c:dLblPos val="outEnd"/>
          <c:showLegendKey val="0"/>
          <c:showVal val="1"/>
          <c:showCatName val="0"/>
          <c:showSerName val="0"/>
          <c:showPercent val="0"/>
          <c:showBubbleSize val="0"/>
        </c:dLbls>
        <c:gapWidth val="219"/>
        <c:overlap val="-27"/>
        <c:axId val="1245084815"/>
        <c:axId val="1245085775"/>
      </c:barChart>
      <c:catAx>
        <c:axId val="12450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5085775"/>
        <c:crosses val="autoZero"/>
        <c:auto val="1"/>
        <c:lblAlgn val="ctr"/>
        <c:lblOffset val="100"/>
        <c:noMultiLvlLbl val="0"/>
      </c:catAx>
      <c:valAx>
        <c:axId val="124508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8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4507470650449"/>
          <c:y val="0.10025062656641603"/>
          <c:w val="0.8299164093166187"/>
          <c:h val="0.65716022339312852"/>
        </c:manualLayout>
      </c:layout>
      <c:barChart>
        <c:barDir val="bar"/>
        <c:grouping val="stacked"/>
        <c:varyColors val="0"/>
        <c:ser>
          <c:idx val="0"/>
          <c:order val="0"/>
          <c:tx>
            <c:strRef>
              <c:f>KPI!$A$17</c:f>
              <c:strCache>
                <c:ptCount val="1"/>
                <c:pt idx="0">
                  <c:v>Rating</c:v>
                </c:pt>
              </c:strCache>
            </c:strRef>
          </c:tx>
          <c:spPr>
            <a:solidFill>
              <a:schemeClr val="accent2">
                <a:lumMod val="75000"/>
              </a:schemeClr>
            </a:solidFill>
            <a:ln>
              <a:noFill/>
            </a:ln>
            <a:effectLst/>
          </c:spPr>
          <c:invertIfNegative val="0"/>
          <c:val>
            <c:numRef>
              <c:f>KPI!$B$17</c:f>
              <c:numCache>
                <c:formatCode>0.00</c:formatCode>
                <c:ptCount val="1"/>
                <c:pt idx="0">
                  <c:v>3.2073170731707319</c:v>
                </c:pt>
              </c:numCache>
            </c:numRef>
          </c:val>
          <c:extLst>
            <c:ext xmlns:c16="http://schemas.microsoft.com/office/drawing/2014/chart" uri="{C3380CC4-5D6E-409C-BE32-E72D297353CC}">
              <c16:uniqueId val="{00000000-D5D3-4FBD-BA38-153CB16E33B7}"/>
            </c:ext>
          </c:extLst>
        </c:ser>
        <c:ser>
          <c:idx val="1"/>
          <c:order val="1"/>
          <c:tx>
            <c:strRef>
              <c:f>KPI!$A$18</c:f>
              <c:strCache>
                <c:ptCount val="1"/>
                <c:pt idx="0">
                  <c:v>Balance rating</c:v>
                </c:pt>
              </c:strCache>
            </c:strRef>
          </c:tx>
          <c:spPr>
            <a:solidFill>
              <a:schemeClr val="accent2">
                <a:lumMod val="60000"/>
                <a:lumOff val="40000"/>
              </a:schemeClr>
            </a:solidFill>
            <a:ln>
              <a:noFill/>
            </a:ln>
            <a:effectLst/>
          </c:spPr>
          <c:invertIfNegative val="0"/>
          <c:val>
            <c:numRef>
              <c:f>KPI!$B$18</c:f>
              <c:numCache>
                <c:formatCode>0.00</c:formatCode>
                <c:ptCount val="1"/>
                <c:pt idx="0">
                  <c:v>0.79268292682926811</c:v>
                </c:pt>
              </c:numCache>
            </c:numRef>
          </c:val>
          <c:extLst>
            <c:ext xmlns:c16="http://schemas.microsoft.com/office/drawing/2014/chart" uri="{C3380CC4-5D6E-409C-BE32-E72D297353CC}">
              <c16:uniqueId val="{00000001-D5D3-4FBD-BA38-153CB16E33B7}"/>
            </c:ext>
          </c:extLst>
        </c:ser>
        <c:dLbls>
          <c:showLegendKey val="0"/>
          <c:showVal val="0"/>
          <c:showCatName val="0"/>
          <c:showSerName val="0"/>
          <c:showPercent val="0"/>
          <c:showBubbleSize val="0"/>
        </c:dLbls>
        <c:gapWidth val="50"/>
        <c:overlap val="100"/>
        <c:axId val="1353049184"/>
        <c:axId val="1353041024"/>
      </c:barChart>
      <c:catAx>
        <c:axId val="1353049184"/>
        <c:scaling>
          <c:orientation val="minMax"/>
        </c:scaling>
        <c:delete val="1"/>
        <c:axPos val="l"/>
        <c:numFmt formatCode="General" sourceLinked="1"/>
        <c:majorTickMark val="out"/>
        <c:minorTickMark val="none"/>
        <c:tickLblPos val="nextTo"/>
        <c:crossAx val="1353041024"/>
        <c:crosses val="autoZero"/>
        <c:auto val="1"/>
        <c:lblAlgn val="ctr"/>
        <c:lblOffset val="100"/>
        <c:noMultiLvlLbl val="0"/>
      </c:catAx>
      <c:valAx>
        <c:axId val="1353041024"/>
        <c:scaling>
          <c:orientation val="minMax"/>
        </c:scaling>
        <c:delete val="1"/>
        <c:axPos val="b"/>
        <c:numFmt formatCode="0.00" sourceLinked="1"/>
        <c:majorTickMark val="out"/>
        <c:minorTickMark val="none"/>
        <c:tickLblPos val="nextTo"/>
        <c:crossAx val="1353049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9377660475878"/>
          <c:y val="0.16749099992752992"/>
          <c:w val="0.65590784648973388"/>
          <c:h val="1"/>
        </c:manualLayout>
      </c:layout>
      <c:doughnutChart>
        <c:varyColors val="1"/>
        <c:ser>
          <c:idx val="0"/>
          <c:order val="0"/>
          <c:spPr>
            <a:solidFill>
              <a:srgbClr val="92D050"/>
            </a:solidFill>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201D-4A00-A690-1E5E7DF03CF8}"/>
              </c:ext>
            </c:extLst>
          </c:dPt>
          <c:dPt>
            <c:idx val="1"/>
            <c:bubble3D val="0"/>
            <c:spPr>
              <a:noFill/>
              <a:ln w="19050">
                <a:noFill/>
              </a:ln>
              <a:effectLst/>
            </c:spPr>
            <c:extLst>
              <c:ext xmlns:c16="http://schemas.microsoft.com/office/drawing/2014/chart" uri="{C3380CC4-5D6E-409C-BE32-E72D297353CC}">
                <c16:uniqueId val="{00000003-201D-4A00-A690-1E5E7DF03CF8}"/>
              </c:ext>
            </c:extLst>
          </c:dPt>
          <c:cat>
            <c:strRef>
              <c:f>KPI!$A$17:$A$18</c:f>
              <c:strCache>
                <c:ptCount val="2"/>
                <c:pt idx="0">
                  <c:v>Rating</c:v>
                </c:pt>
                <c:pt idx="1">
                  <c:v>Balance rating</c:v>
                </c:pt>
              </c:strCache>
            </c:strRef>
          </c:cat>
          <c:val>
            <c:numRef>
              <c:f>KPI!$B$17:$B$18</c:f>
              <c:numCache>
                <c:formatCode>0.00</c:formatCode>
                <c:ptCount val="2"/>
                <c:pt idx="0">
                  <c:v>3.2073170731707319</c:v>
                </c:pt>
                <c:pt idx="1">
                  <c:v>0.79268292682926811</c:v>
                </c:pt>
              </c:numCache>
            </c:numRef>
          </c:val>
          <c:extLst>
            <c:ext xmlns:c16="http://schemas.microsoft.com/office/drawing/2014/chart" uri="{C3380CC4-5D6E-409C-BE32-E72D297353CC}">
              <c16:uniqueId val="{00000004-201D-4A00-A690-1E5E7DF03CF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KPI!$B$43</c:f>
              <c:strCache>
                <c:ptCount val="1"/>
                <c:pt idx="0">
                  <c:v>Count of Employee Count</c:v>
                </c:pt>
              </c:strCache>
            </c:strRef>
          </c:tx>
          <c:spPr>
            <a:ln>
              <a:noFill/>
            </a:ln>
          </c:spPr>
          <c:dPt>
            <c:idx val="0"/>
            <c:bubble3D val="0"/>
            <c:spPr>
              <a:gradFill>
                <a:gsLst>
                  <a:gs pos="0">
                    <a:srgbClr val="002060"/>
                  </a:gs>
                  <a:gs pos="96000">
                    <a:srgbClr val="9E009E"/>
                  </a:gs>
                  <a:gs pos="100000">
                    <a:schemeClr val="accent1">
                      <a:lumMod val="45000"/>
                      <a:lumOff val="55000"/>
                    </a:schemeClr>
                  </a:gs>
                  <a:gs pos="100000">
                    <a:schemeClr val="accent1">
                      <a:lumMod val="30000"/>
                      <a:lumOff val="70000"/>
                    </a:schemeClr>
                  </a:gs>
                </a:gsLst>
                <a:lin ang="0" scaled="0"/>
              </a:gradFill>
              <a:ln w="19050">
                <a:noFill/>
              </a:ln>
              <a:effectLst/>
            </c:spPr>
            <c:extLst>
              <c:ext xmlns:c16="http://schemas.microsoft.com/office/drawing/2014/chart" uri="{C3380CC4-5D6E-409C-BE32-E72D297353CC}">
                <c16:uniqueId val="{00000001-31FB-46F8-96B8-439393E463AC}"/>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31FB-46F8-96B8-439393E463AC}"/>
              </c:ext>
            </c:extLst>
          </c:dPt>
          <c:dPt>
            <c:idx val="2"/>
            <c:bubble3D val="0"/>
            <c:spPr>
              <a:solidFill>
                <a:schemeClr val="accent3"/>
              </a:solidFill>
              <a:ln w="19050">
                <a:noFill/>
              </a:ln>
              <a:effectLst/>
            </c:spPr>
            <c:extLst>
              <c:ext xmlns:c16="http://schemas.microsoft.com/office/drawing/2014/chart" uri="{C3380CC4-5D6E-409C-BE32-E72D297353CC}">
                <c16:uniqueId val="{00000005-31FB-46F8-96B8-439393E463AC}"/>
              </c:ext>
            </c:extLst>
          </c:dPt>
          <c:cat>
            <c:strRef>
              <c:f>KPI!$A$44:$A$45</c:f>
              <c:strCache>
                <c:ptCount val="2"/>
                <c:pt idx="0">
                  <c:v>Female</c:v>
                </c:pt>
                <c:pt idx="1">
                  <c:v>Male</c:v>
                </c:pt>
              </c:strCache>
            </c:strRef>
          </c:cat>
          <c:val>
            <c:numRef>
              <c:f>KPI!$B$44:$B$45</c:f>
              <c:numCache>
                <c:formatCode>General</c:formatCode>
                <c:ptCount val="2"/>
                <c:pt idx="0">
                  <c:v>29</c:v>
                </c:pt>
                <c:pt idx="1">
                  <c:v>53</c:v>
                </c:pt>
              </c:numCache>
            </c:numRef>
          </c:val>
          <c:extLst>
            <c:ext xmlns:c16="http://schemas.microsoft.com/office/drawing/2014/chart" uri="{C3380CC4-5D6E-409C-BE32-E72D297353CC}">
              <c16:uniqueId val="{00000006-31FB-46F8-96B8-439393E463AC}"/>
            </c:ext>
          </c:extLst>
        </c:ser>
        <c:ser>
          <c:idx val="1"/>
          <c:order val="1"/>
          <c:tx>
            <c:strRef>
              <c:f>KPI!$C$43</c:f>
              <c:strCache>
                <c:ptCount val="1"/>
              </c:strCache>
            </c:strRef>
          </c:tx>
          <c:spPr>
            <a:noFill/>
            <a:ln>
              <a:noFill/>
            </a:ln>
          </c:spPr>
          <c:dPt>
            <c:idx val="0"/>
            <c:bubble3D val="0"/>
            <c:spPr>
              <a:noFill/>
              <a:ln w="19050">
                <a:noFill/>
              </a:ln>
              <a:effectLst/>
            </c:spPr>
            <c:extLst>
              <c:ext xmlns:c16="http://schemas.microsoft.com/office/drawing/2014/chart" uri="{C3380CC4-5D6E-409C-BE32-E72D297353CC}">
                <c16:uniqueId val="{00000008-31FB-46F8-96B8-439393E463AC}"/>
              </c:ext>
            </c:extLst>
          </c:dPt>
          <c:dPt>
            <c:idx val="1"/>
            <c:bubble3D val="0"/>
            <c:spPr>
              <a:noFill/>
              <a:ln w="19050">
                <a:noFill/>
              </a:ln>
              <a:effectLst/>
            </c:spPr>
            <c:extLst>
              <c:ext xmlns:c16="http://schemas.microsoft.com/office/drawing/2014/chart" uri="{C3380CC4-5D6E-409C-BE32-E72D297353CC}">
                <c16:uniqueId val="{0000000A-31FB-46F8-96B8-439393E463AC}"/>
              </c:ext>
            </c:extLst>
          </c:dPt>
          <c:dPt>
            <c:idx val="2"/>
            <c:bubble3D val="0"/>
            <c:spPr>
              <a:noFill/>
              <a:ln w="19050">
                <a:noFill/>
              </a:ln>
              <a:effectLst/>
            </c:spPr>
            <c:extLst>
              <c:ext xmlns:c16="http://schemas.microsoft.com/office/drawing/2014/chart" uri="{C3380CC4-5D6E-409C-BE32-E72D297353CC}">
                <c16:uniqueId val="{0000000C-31FB-46F8-96B8-439393E463AC}"/>
              </c:ext>
            </c:extLst>
          </c:dPt>
          <c:cat>
            <c:strRef>
              <c:f>KPI!$A$44:$A$45</c:f>
              <c:strCache>
                <c:ptCount val="2"/>
                <c:pt idx="0">
                  <c:v>Female</c:v>
                </c:pt>
                <c:pt idx="1">
                  <c:v>Male</c:v>
                </c:pt>
              </c:strCache>
            </c:strRef>
          </c:cat>
          <c:val>
            <c:numRef>
              <c:f>KPI!$C$44:$C$45</c:f>
              <c:numCache>
                <c:formatCode>0%</c:formatCode>
                <c:ptCount val="2"/>
                <c:pt idx="0">
                  <c:v>1.9727891156462583E-2</c:v>
                </c:pt>
                <c:pt idx="1">
                  <c:v>3.6054421768707483E-2</c:v>
                </c:pt>
              </c:numCache>
            </c:numRef>
          </c:val>
          <c:extLst>
            <c:ext xmlns:c16="http://schemas.microsoft.com/office/drawing/2014/chart" uri="{C3380CC4-5D6E-409C-BE32-E72D297353CC}">
              <c16:uniqueId val="{0000000D-31FB-46F8-96B8-439393E463AC}"/>
            </c:ext>
          </c:extLst>
        </c:ser>
        <c:dLbls>
          <c:showLegendKey val="0"/>
          <c:showVal val="0"/>
          <c:showCatName val="0"/>
          <c:showSerName val="0"/>
          <c:showPercent val="0"/>
          <c:showBubbleSize val="0"/>
          <c:showLeaderLines val="1"/>
        </c:dLbls>
        <c:firstSliceAng val="5"/>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KPI!$B$43</c:f>
              <c:strCache>
                <c:ptCount val="1"/>
                <c:pt idx="0">
                  <c:v>Count of Employee Count</c:v>
                </c:pt>
              </c:strCache>
            </c:strRef>
          </c:tx>
          <c:spPr>
            <a:gradFill>
              <a:gsLst>
                <a:gs pos="56000">
                  <a:srgbClr val="002060"/>
                </a:gs>
                <a:gs pos="74000">
                  <a:schemeClr val="accent1">
                    <a:lumMod val="45000"/>
                    <a:lumOff val="55000"/>
                  </a:schemeClr>
                </a:gs>
                <a:gs pos="6000">
                  <a:srgbClr val="9E009E"/>
                </a:gs>
                <a:gs pos="100000">
                  <a:schemeClr val="accent1">
                    <a:lumMod val="30000"/>
                    <a:lumOff val="70000"/>
                  </a:schemeClr>
                </a:gs>
              </a:gsLst>
              <a:lin ang="0" scaled="0"/>
            </a:gradFill>
            <a:ln>
              <a:solidFill>
                <a:schemeClr val="bg1">
                  <a:lumMod val="75000"/>
                </a:schemeClr>
              </a:solidFill>
            </a:ln>
          </c:spPr>
          <c:dPt>
            <c:idx val="0"/>
            <c:bubble3D val="0"/>
            <c:spPr>
              <a:solidFill>
                <a:schemeClr val="bg1">
                  <a:lumMod val="85000"/>
                </a:schemeClr>
              </a:solidFill>
              <a:ln w="19050">
                <a:solidFill>
                  <a:schemeClr val="bg1">
                    <a:lumMod val="65000"/>
                  </a:schemeClr>
                </a:solidFill>
              </a:ln>
              <a:effectLst/>
            </c:spPr>
            <c:extLst>
              <c:ext xmlns:c16="http://schemas.microsoft.com/office/drawing/2014/chart" uri="{C3380CC4-5D6E-409C-BE32-E72D297353CC}">
                <c16:uniqueId val="{00000001-0BC5-4732-B718-E279A545CA1F}"/>
              </c:ext>
            </c:extLst>
          </c:dPt>
          <c:dPt>
            <c:idx val="1"/>
            <c:bubble3D val="0"/>
            <c:spPr>
              <a:gradFill>
                <a:gsLst>
                  <a:gs pos="56000">
                    <a:srgbClr val="002060"/>
                  </a:gs>
                  <a:gs pos="74000">
                    <a:schemeClr val="accent1">
                      <a:lumMod val="45000"/>
                      <a:lumOff val="55000"/>
                    </a:schemeClr>
                  </a:gs>
                  <a:gs pos="6000">
                    <a:srgbClr val="9E009E"/>
                  </a:gs>
                  <a:gs pos="100000">
                    <a:schemeClr val="accent1">
                      <a:lumMod val="30000"/>
                      <a:lumOff val="70000"/>
                    </a:schemeClr>
                  </a:gs>
                </a:gsLst>
                <a:lin ang="0" scaled="0"/>
              </a:gradFill>
              <a:ln w="19050">
                <a:solidFill>
                  <a:schemeClr val="bg1">
                    <a:lumMod val="75000"/>
                  </a:schemeClr>
                </a:solidFill>
              </a:ln>
              <a:effectLst/>
            </c:spPr>
            <c:extLst>
              <c:ext xmlns:c16="http://schemas.microsoft.com/office/drawing/2014/chart" uri="{C3380CC4-5D6E-409C-BE32-E72D297353CC}">
                <c16:uniqueId val="{00000003-0BC5-4732-B718-E279A545CA1F}"/>
              </c:ext>
            </c:extLst>
          </c:dPt>
          <c:dPt>
            <c:idx val="2"/>
            <c:bubble3D val="0"/>
            <c:spPr>
              <a:gradFill>
                <a:gsLst>
                  <a:gs pos="56000">
                    <a:srgbClr val="002060"/>
                  </a:gs>
                  <a:gs pos="74000">
                    <a:schemeClr val="accent1">
                      <a:lumMod val="45000"/>
                      <a:lumOff val="55000"/>
                    </a:schemeClr>
                  </a:gs>
                  <a:gs pos="6000">
                    <a:srgbClr val="9E009E"/>
                  </a:gs>
                  <a:gs pos="100000">
                    <a:schemeClr val="accent1">
                      <a:lumMod val="30000"/>
                      <a:lumOff val="70000"/>
                    </a:schemeClr>
                  </a:gs>
                </a:gsLst>
                <a:lin ang="0" scaled="0"/>
              </a:gradFill>
              <a:ln w="19050">
                <a:solidFill>
                  <a:schemeClr val="bg1">
                    <a:lumMod val="75000"/>
                  </a:schemeClr>
                </a:solidFill>
              </a:ln>
              <a:effectLst/>
            </c:spPr>
            <c:extLst>
              <c:ext xmlns:c16="http://schemas.microsoft.com/office/drawing/2014/chart" uri="{C3380CC4-5D6E-409C-BE32-E72D297353CC}">
                <c16:uniqueId val="{00000005-0BC5-4732-B718-E279A545CA1F}"/>
              </c:ext>
            </c:extLst>
          </c:dPt>
          <c:cat>
            <c:strRef>
              <c:f>KPI!$A$44:$A$45</c:f>
              <c:strCache>
                <c:ptCount val="2"/>
                <c:pt idx="0">
                  <c:v>Female</c:v>
                </c:pt>
                <c:pt idx="1">
                  <c:v>Male</c:v>
                </c:pt>
              </c:strCache>
            </c:strRef>
          </c:cat>
          <c:val>
            <c:numRef>
              <c:f>KPI!$B$44:$B$45</c:f>
              <c:numCache>
                <c:formatCode>General</c:formatCode>
                <c:ptCount val="2"/>
                <c:pt idx="0">
                  <c:v>29</c:v>
                </c:pt>
                <c:pt idx="1">
                  <c:v>53</c:v>
                </c:pt>
              </c:numCache>
            </c:numRef>
          </c:val>
          <c:extLst>
            <c:ext xmlns:c16="http://schemas.microsoft.com/office/drawing/2014/chart" uri="{C3380CC4-5D6E-409C-BE32-E72D297353CC}">
              <c16:uniqueId val="{00000006-0BC5-4732-B718-E279A545CA1F}"/>
            </c:ext>
          </c:extLst>
        </c:ser>
        <c:ser>
          <c:idx val="1"/>
          <c:order val="1"/>
          <c:tx>
            <c:strRef>
              <c:f>KPI!$C$43</c:f>
              <c:strCache>
                <c:ptCount val="1"/>
              </c:strCache>
            </c:strRef>
          </c:tx>
          <c:spPr>
            <a:noFill/>
            <a:ln>
              <a:noFill/>
            </a:ln>
          </c:spPr>
          <c:dPt>
            <c:idx val="0"/>
            <c:bubble3D val="0"/>
            <c:spPr>
              <a:noFill/>
              <a:ln w="19050">
                <a:noFill/>
              </a:ln>
              <a:effectLst/>
            </c:spPr>
            <c:extLst>
              <c:ext xmlns:c16="http://schemas.microsoft.com/office/drawing/2014/chart" uri="{C3380CC4-5D6E-409C-BE32-E72D297353CC}">
                <c16:uniqueId val="{00000008-0BC5-4732-B718-E279A545CA1F}"/>
              </c:ext>
            </c:extLst>
          </c:dPt>
          <c:dPt>
            <c:idx val="1"/>
            <c:bubble3D val="0"/>
            <c:spPr>
              <a:noFill/>
              <a:ln w="19050">
                <a:noFill/>
              </a:ln>
              <a:effectLst/>
            </c:spPr>
            <c:extLst>
              <c:ext xmlns:c16="http://schemas.microsoft.com/office/drawing/2014/chart" uri="{C3380CC4-5D6E-409C-BE32-E72D297353CC}">
                <c16:uniqueId val="{0000000A-0BC5-4732-B718-E279A545CA1F}"/>
              </c:ext>
            </c:extLst>
          </c:dPt>
          <c:dPt>
            <c:idx val="2"/>
            <c:bubble3D val="0"/>
            <c:spPr>
              <a:noFill/>
              <a:ln w="19050">
                <a:noFill/>
              </a:ln>
              <a:effectLst/>
            </c:spPr>
            <c:extLst>
              <c:ext xmlns:c16="http://schemas.microsoft.com/office/drawing/2014/chart" uri="{C3380CC4-5D6E-409C-BE32-E72D297353CC}">
                <c16:uniqueId val="{0000000C-0BC5-4732-B718-E279A545CA1F}"/>
              </c:ext>
            </c:extLst>
          </c:dPt>
          <c:cat>
            <c:strRef>
              <c:f>KPI!$A$44:$A$45</c:f>
              <c:strCache>
                <c:ptCount val="2"/>
                <c:pt idx="0">
                  <c:v>Female</c:v>
                </c:pt>
                <c:pt idx="1">
                  <c:v>Male</c:v>
                </c:pt>
              </c:strCache>
            </c:strRef>
          </c:cat>
          <c:val>
            <c:numRef>
              <c:f>KPI!$C$44:$C$45</c:f>
              <c:numCache>
                <c:formatCode>0%</c:formatCode>
                <c:ptCount val="2"/>
                <c:pt idx="0">
                  <c:v>1.9727891156462583E-2</c:v>
                </c:pt>
                <c:pt idx="1">
                  <c:v>3.6054421768707483E-2</c:v>
                </c:pt>
              </c:numCache>
            </c:numRef>
          </c:val>
          <c:extLst>
            <c:ext xmlns:c16="http://schemas.microsoft.com/office/drawing/2014/chart" uri="{C3380CC4-5D6E-409C-BE32-E72D297353CC}">
              <c16:uniqueId val="{0000000D-0BC5-4732-B718-E279A545CA1F}"/>
            </c:ext>
          </c:extLst>
        </c:ser>
        <c:dLbls>
          <c:showLegendKey val="0"/>
          <c:showVal val="0"/>
          <c:showCatName val="0"/>
          <c:showSerName val="0"/>
          <c:showPercent val="0"/>
          <c:showBubbleSize val="0"/>
          <c:showLeaderLines val="1"/>
        </c:dLbls>
        <c:firstSliceAng val="5"/>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KPI!$B$55</c:f>
              <c:strCache>
                <c:ptCount val="1"/>
                <c:pt idx="0">
                  <c:v>Total</c:v>
                </c:pt>
              </c:strCache>
            </c:strRef>
          </c:tx>
          <c:spPr>
            <a:gradFill flip="none" rotWithShape="1">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KPI!$A$56:$A$57</c:f>
              <c:strCache>
                <c:ptCount val="1"/>
                <c:pt idx="0">
                  <c:v>Other</c:v>
                </c:pt>
              </c:strCache>
            </c:strRef>
          </c:cat>
          <c:val>
            <c:numRef>
              <c:f>KPI!$B$56:$B$57</c:f>
              <c:numCache>
                <c:formatCode>General</c:formatCode>
                <c:ptCount val="1"/>
                <c:pt idx="0">
                  <c:v>11</c:v>
                </c:pt>
              </c:numCache>
            </c:numRef>
          </c:val>
          <c:extLst>
            <c:ext xmlns:c16="http://schemas.microsoft.com/office/drawing/2014/chart" uri="{C3380CC4-5D6E-409C-BE32-E72D297353CC}">
              <c16:uniqueId val="{00000000-5ED5-45EC-A464-02D74AFEB848}"/>
            </c:ext>
          </c:extLst>
        </c:ser>
        <c:dLbls>
          <c:dLblPos val="outEnd"/>
          <c:showLegendKey val="0"/>
          <c:showVal val="1"/>
          <c:showCatName val="0"/>
          <c:showSerName val="0"/>
          <c:showPercent val="0"/>
          <c:showBubbleSize val="0"/>
        </c:dLbls>
        <c:gapWidth val="60"/>
        <c:axId val="1038596208"/>
        <c:axId val="782096864"/>
      </c:barChart>
      <c:catAx>
        <c:axId val="103859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82096864"/>
        <c:crosses val="autoZero"/>
        <c:auto val="1"/>
        <c:lblAlgn val="ctr"/>
        <c:lblOffset val="100"/>
        <c:noMultiLvlLbl val="0"/>
      </c:catAx>
      <c:valAx>
        <c:axId val="78209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0385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DATA_Excel.xlsx]KPI!PivotTable8</c:name>
    <c:fmtId val="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002060"/>
          </a:solidFill>
          <a:ln w="19050">
            <a:solidFill>
              <a:schemeClr val="lt1"/>
            </a:solidFill>
          </a:ln>
          <a:effectLst/>
        </c:spPr>
      </c:pivotFmt>
      <c:pivotFmt>
        <c:idx val="3"/>
        <c:spPr>
          <a:solidFill>
            <a:schemeClr val="tx2">
              <a:lumMod val="65000"/>
              <a:lumOff val="3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rgbClr val="FFC000"/>
          </a:solidFill>
          <a:ln w="19050">
            <a:solidFill>
              <a:schemeClr val="lt1"/>
            </a:solidFill>
          </a:ln>
          <a:effectLst/>
        </c:spPr>
      </c:pivotFmt>
      <c:pivotFmt>
        <c:idx val="6"/>
        <c:spPr>
          <a:solidFill>
            <a:srgbClr val="002060"/>
          </a:solidFill>
          <a:ln w="19050">
            <a:solidFill>
              <a:schemeClr val="lt1"/>
            </a:solidFill>
          </a:ln>
          <a:effectLst/>
        </c:spPr>
      </c:pivotFmt>
      <c:pivotFmt>
        <c:idx val="7"/>
        <c:spPr>
          <a:solidFill>
            <a:schemeClr val="tx2">
              <a:lumMod val="65000"/>
              <a:lumOff val="3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rgbClr val="FFC000"/>
          </a:solidFill>
          <a:ln w="19050">
            <a:solidFill>
              <a:schemeClr val="lt1"/>
            </a:solidFill>
          </a:ln>
          <a:effectLst/>
        </c:spPr>
      </c:pivotFmt>
      <c:pivotFmt>
        <c:idx val="10"/>
        <c:spPr>
          <a:solidFill>
            <a:srgbClr val="002060"/>
          </a:solidFill>
          <a:ln w="19050">
            <a:solidFill>
              <a:schemeClr val="lt1"/>
            </a:solidFill>
          </a:ln>
          <a:effectLst/>
        </c:spPr>
      </c:pivotFmt>
      <c:pivotFmt>
        <c:idx val="11"/>
        <c:spPr>
          <a:solidFill>
            <a:schemeClr val="tx2">
              <a:lumMod val="65000"/>
              <a:lumOff val="35000"/>
            </a:schemeClr>
          </a:solidFill>
          <a:ln w="19050">
            <a:solidFill>
              <a:schemeClr val="lt1"/>
            </a:solidFill>
          </a:ln>
          <a:effectLst/>
        </c:spPr>
      </c:pivotFmt>
      <c:pivotFmt>
        <c:idx val="12"/>
        <c:marker>
          <c:symbol val="none"/>
        </c:marker>
        <c:dLbl>
          <c:idx val="0"/>
          <c:spPr>
            <a:noFill/>
            <a:ln>
              <a:noFill/>
            </a:ln>
            <a:effectLst/>
          </c:spPr>
          <c:txPr>
            <a:bodyPr/>
            <a:lstStyle/>
            <a:p>
              <a:pPr>
                <a:defRPr>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002060"/>
          </a:solidFill>
          <a:ln w="19050">
            <a:solidFill>
              <a:schemeClr val="lt1"/>
            </a:solidFill>
          </a:ln>
          <a:effectLst/>
        </c:spPr>
      </c:pivotFmt>
      <c:pivotFmt>
        <c:idx val="15"/>
        <c:spPr>
          <a:solidFill>
            <a:schemeClr val="tx2">
              <a:lumMod val="65000"/>
              <a:lumOff val="35000"/>
            </a:schemeClr>
          </a:solidFill>
          <a:ln w="19050">
            <a:solidFill>
              <a:schemeClr val="lt1"/>
            </a:solidFill>
          </a:ln>
          <a:effectLst/>
        </c:spPr>
      </c:pivotFmt>
    </c:pivotFmts>
    <c:plotArea>
      <c:layout/>
      <c:pieChart>
        <c:varyColors val="1"/>
        <c:ser>
          <c:idx val="0"/>
          <c:order val="0"/>
          <c:tx>
            <c:strRef>
              <c:f>KPI!$B$82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9-B02F-40F8-84FA-F0CF236E9CD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B-B02F-40F8-84FA-F0CF236E9CD9}"/>
              </c:ext>
            </c:extLst>
          </c:dPt>
          <c:dPt>
            <c:idx val="2"/>
            <c:bubble3D val="0"/>
            <c:spPr>
              <a:solidFill>
                <a:schemeClr val="tx2">
                  <a:lumMod val="65000"/>
                  <a:lumOff val="35000"/>
                </a:schemeClr>
              </a:solidFill>
              <a:ln w="19050">
                <a:solidFill>
                  <a:schemeClr val="lt1"/>
                </a:solidFill>
              </a:ln>
              <a:effectLst/>
            </c:spPr>
            <c:extLst>
              <c:ext xmlns:c16="http://schemas.microsoft.com/office/drawing/2014/chart" uri="{C3380CC4-5D6E-409C-BE32-E72D297353CC}">
                <c16:uniqueId val="{0000000D-B02F-40F8-84FA-F0CF236E9CD9}"/>
              </c:ext>
            </c:extLst>
          </c:dPt>
          <c:dLbls>
            <c:spPr>
              <a:noFill/>
              <a:ln>
                <a:noFill/>
              </a:ln>
              <a:effectLst/>
            </c:spPr>
            <c:txPr>
              <a:bodyPr/>
              <a:lstStyle/>
              <a:p>
                <a:pPr>
                  <a:defRPr>
                    <a:solidFill>
                      <a:schemeClr val="bg1"/>
                    </a:solidFill>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KPI!$A$83:$A$86</c:f>
              <c:strCache>
                <c:ptCount val="3"/>
                <c:pt idx="0">
                  <c:v>HR</c:v>
                </c:pt>
                <c:pt idx="1">
                  <c:v>R&amp;D</c:v>
                </c:pt>
                <c:pt idx="2">
                  <c:v>Sales</c:v>
                </c:pt>
              </c:strCache>
            </c:strRef>
          </c:cat>
          <c:val>
            <c:numRef>
              <c:f>KPI!$B$83:$B$86</c:f>
              <c:numCache>
                <c:formatCode>General</c:formatCode>
                <c:ptCount val="3"/>
                <c:pt idx="0">
                  <c:v>0</c:v>
                </c:pt>
                <c:pt idx="1">
                  <c:v>7</c:v>
                </c:pt>
                <c:pt idx="2">
                  <c:v>4</c:v>
                </c:pt>
              </c:numCache>
            </c:numRef>
          </c:val>
          <c:extLst>
            <c:ext xmlns:c16="http://schemas.microsoft.com/office/drawing/2014/chart" uri="{C3380CC4-5D6E-409C-BE32-E72D297353CC}">
              <c16:uniqueId val="{0000000E-B02F-40F8-84FA-F0CF236E9CD9}"/>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DATA_Excel.xlsx]KPI!PivotTable9</c:name>
    <c:fmtId val="12"/>
  </c:pivotSource>
  <c:chart>
    <c:autoTitleDeleted val="1"/>
    <c:pivotFmts>
      <c:pivotFmt>
        <c:idx val="0"/>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KPI!$C$92</c:f>
              <c:strCache>
                <c:ptCount val="1"/>
                <c:pt idx="0">
                  <c:v>Total</c:v>
                </c:pt>
              </c:strCache>
            </c:strRef>
          </c:tx>
          <c: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KPI!$B$93:$B$97</c:f>
              <c:strCache>
                <c:ptCount val="4"/>
                <c:pt idx="0">
                  <c:v>25 - 34</c:v>
                </c:pt>
                <c:pt idx="1">
                  <c:v>35 - 44</c:v>
                </c:pt>
                <c:pt idx="2">
                  <c:v>45 - 54</c:v>
                </c:pt>
                <c:pt idx="3">
                  <c:v>Under 25</c:v>
                </c:pt>
              </c:strCache>
            </c:strRef>
          </c:cat>
          <c:val>
            <c:numRef>
              <c:f>KPI!$C$93:$C$97</c:f>
              <c:numCache>
                <c:formatCode>General</c:formatCode>
                <c:ptCount val="4"/>
                <c:pt idx="0">
                  <c:v>4</c:v>
                </c:pt>
                <c:pt idx="1">
                  <c:v>4</c:v>
                </c:pt>
                <c:pt idx="2">
                  <c:v>1</c:v>
                </c:pt>
                <c:pt idx="3">
                  <c:v>2</c:v>
                </c:pt>
              </c:numCache>
            </c:numRef>
          </c:val>
          <c:extLst>
            <c:ext xmlns:c16="http://schemas.microsoft.com/office/drawing/2014/chart" uri="{C3380CC4-5D6E-409C-BE32-E72D297353CC}">
              <c16:uniqueId val="{00000000-E748-491F-80AE-57721B30804E}"/>
            </c:ext>
          </c:extLst>
        </c:ser>
        <c:dLbls>
          <c:dLblPos val="outEnd"/>
          <c:showLegendKey val="0"/>
          <c:showVal val="1"/>
          <c:showCatName val="0"/>
          <c:showSerName val="0"/>
          <c:showPercent val="0"/>
          <c:showBubbleSize val="0"/>
        </c:dLbls>
        <c:gapWidth val="219"/>
        <c:overlap val="-27"/>
        <c:axId val="1245084815"/>
        <c:axId val="1245085775"/>
      </c:barChart>
      <c:catAx>
        <c:axId val="124508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5085775"/>
        <c:crosses val="autoZero"/>
        <c:auto val="1"/>
        <c:lblAlgn val="ctr"/>
        <c:lblOffset val="100"/>
        <c:noMultiLvlLbl val="0"/>
      </c:catAx>
      <c:valAx>
        <c:axId val="124508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8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B3FEEFEE-798F-4EC9-9454-88AE2B1924CA}">
          <cx:tx>
            <cx:txData>
              <cx:f>_xlchart.v1.1</cx:f>
              <cx:v>Sum of CF_attrition count</cx:v>
            </cx:txData>
          </cx:tx>
          <cx:dataLabels>
            <cx:txPr>
              <a:bodyPr spcFirstLastPara="1" vertOverflow="ellipsis" horzOverflow="overflow" wrap="square" lIns="0" tIns="0" rIns="0" bIns="0" anchor="ctr" anchorCtr="1"/>
              <a:lstStyle/>
              <a:p>
                <a:pPr algn="ctr" rtl="0">
                  <a:defRPr sz="700"/>
                </a:pPr>
                <a:endParaRPr lang="en-US" sz="700" b="0" i="0" u="none" strike="noStrike" baseline="0">
                  <a:solidFill>
                    <a:srgbClr val="FFFFFF"/>
                  </a:solidFill>
                  <a:latin typeface="Calibri"/>
                  <a:cs typeface="Calibri"/>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700"/>
          </a:pPr>
          <a:endParaRPr lang="en-US" sz="700" b="0" i="0" u="none" strike="noStrike" baseline="0">
            <a:solidFill>
              <a:srgbClr val="000000">
                <a:lumMod val="65000"/>
                <a:lumOff val="35000"/>
              </a:srgbClr>
            </a:solidFill>
            <a:latin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EEE1E32-69A2-42B6-B9B6-BB6218A4EBB9}">
          <cx:tx>
            <cx:txData>
              <cx:f>_xlchart.v2.4</cx:f>
              <cx:v>Count of CF_attrition counts</cx:v>
            </cx:txData>
          </cx:tx>
          <cx: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cx:spPr>
          <cx:dataLabels>
            <cx:visibility seriesName="0" categoryName="0" value="1"/>
          </cx:dataLabels>
          <cx:dataId val="0"/>
        </cx:series>
      </cx:plotAreaRegion>
      <cx:axis id="1">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B3FEEFEE-798F-4EC9-9454-88AE2B1924CA}">
          <cx:tx>
            <cx:txData>
              <cx:f>_xlchart.v1.10</cx:f>
              <cx:v>Sum of CF_attrition count</cx:v>
            </cx:txData>
          </cx:tx>
          <cx:dataLabels>
            <cx:txPr>
              <a:bodyPr spcFirstLastPara="1" vertOverflow="ellipsis" horzOverflow="overflow" wrap="square" lIns="0" tIns="0" rIns="0" bIns="0" anchor="ctr" anchorCtr="1"/>
              <a:lstStyle/>
              <a:p>
                <a:pPr algn="ctr" rtl="0">
                  <a:defRPr sz="700"/>
                </a:pPr>
                <a:endParaRPr lang="en-US" sz="700" b="0" i="0" u="none" strike="noStrike" baseline="0">
                  <a:solidFill>
                    <a:srgbClr val="FFFFFF"/>
                  </a:solidFill>
                  <a:latin typeface="Calibri"/>
                  <a:cs typeface="Calibri"/>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700"/>
          </a:pPr>
          <a:endParaRPr lang="en-US" sz="700" b="0" i="0" u="none" strike="noStrike" baseline="0">
            <a:solidFill>
              <a:srgbClr val="000000">
                <a:lumMod val="65000"/>
                <a:lumOff val="35000"/>
              </a:srgbClr>
            </a:solidFill>
            <a:latin typeface="Calibri"/>
            <a:cs typeface="Calibri"/>
          </a:endParaRPr>
        </a:p>
      </cx:txPr>
    </cx:legend>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CEEE1E32-69A2-42B6-B9B6-BB6218A4EBB9}">
          <cx:tx>
            <cx:txData>
              <cx:f>_xlchart.v2.7</cx:f>
              <cx:v>Count of CF_attrition counts</cx:v>
            </cx:txData>
          </cx:tx>
          <cx:spPr>
            <a:gradFill>
              <a:gsLst>
                <a:gs pos="10000">
                  <a:schemeClr val="accent2">
                    <a:lumMod val="75000"/>
                  </a:schemeClr>
                </a:gs>
                <a:gs pos="0">
                  <a:schemeClr val="accent1">
                    <a:lumMod val="5000"/>
                    <a:lumOff val="95000"/>
                  </a:schemeClr>
                </a:gs>
                <a:gs pos="70000">
                  <a:schemeClr val="accent6">
                    <a:lumMod val="50000"/>
                  </a:schemeClr>
                </a:gs>
                <a:gs pos="83000">
                  <a:schemeClr val="accent6">
                    <a:lumMod val="60000"/>
                    <a:lumOff val="40000"/>
                  </a:schemeClr>
                </a:gs>
                <a:gs pos="100000">
                  <a:schemeClr val="accent1">
                    <a:lumMod val="30000"/>
                    <a:lumOff val="70000"/>
                  </a:schemeClr>
                </a:gs>
              </a:gsLst>
              <a:lin ang="2700000" scaled="1"/>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pPr>
            <a:endParaRPr lang="en-US" sz="120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svg"/><Relationship Id="rId18" Type="http://schemas.openxmlformats.org/officeDocument/2006/relationships/chart" Target="../charts/chart1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6.png"/><Relationship Id="rId16" Type="http://schemas.openxmlformats.org/officeDocument/2006/relationships/chart" Target="../charts/chart12.xml"/><Relationship Id="rId20" Type="http://schemas.microsoft.com/office/2014/relationships/chartEx" Target="../charts/chartEx4.xml"/><Relationship Id="rId1" Type="http://schemas.openxmlformats.org/officeDocument/2006/relationships/image" Target="../media/image7.png"/><Relationship Id="rId6" Type="http://schemas.openxmlformats.org/officeDocument/2006/relationships/image" Target="../media/image4.pn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image" Target="../media/image11.svg"/><Relationship Id="rId10" Type="http://schemas.openxmlformats.org/officeDocument/2006/relationships/chart" Target="../charts/chart10.xml"/><Relationship Id="rId19"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9.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5</xdr:row>
      <xdr:rowOff>19050</xdr:rowOff>
    </xdr:from>
    <xdr:to>
      <xdr:col>7</xdr:col>
      <xdr:colOff>590550</xdr:colOff>
      <xdr:row>10</xdr:row>
      <xdr:rowOff>171450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539F086-29C6-CC7D-5347-4640FCDEAA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76950" y="1066800"/>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395287</xdr:colOff>
      <xdr:row>1</xdr:row>
      <xdr:rowOff>133350</xdr:rowOff>
    </xdr:from>
    <xdr:to>
      <xdr:col>14</xdr:col>
      <xdr:colOff>166687</xdr:colOff>
      <xdr:row>15</xdr:row>
      <xdr:rowOff>28575</xdr:rowOff>
    </xdr:to>
    <xdr:graphicFrame macro="">
      <xdr:nvGraphicFramePr>
        <xdr:cNvPr id="4" name="Chart 3">
          <a:extLst>
            <a:ext uri="{FF2B5EF4-FFF2-40B4-BE49-F238E27FC236}">
              <a16:creationId xmlns:a16="http://schemas.microsoft.com/office/drawing/2014/main" id="{A04FD844-5937-C01E-4A55-F3A9A75EC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461962</xdr:colOff>
      <xdr:row>19</xdr:row>
      <xdr:rowOff>57150</xdr:rowOff>
    </xdr:from>
    <xdr:to>
      <xdr:col>5</xdr:col>
      <xdr:colOff>38100</xdr:colOff>
      <xdr:row>23</xdr:row>
      <xdr:rowOff>76199</xdr:rowOff>
    </xdr:to>
    <xdr:graphicFrame macro="">
      <xdr:nvGraphicFramePr>
        <xdr:cNvPr id="6" name="Chart 5">
          <a:extLst>
            <a:ext uri="{FF2B5EF4-FFF2-40B4-BE49-F238E27FC236}">
              <a16:creationId xmlns:a16="http://schemas.microsoft.com/office/drawing/2014/main" id="{BFF52075-3591-263F-3458-94B0FE1EA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295275</xdr:colOff>
      <xdr:row>17</xdr:row>
      <xdr:rowOff>38100</xdr:rowOff>
    </xdr:from>
    <xdr:to>
      <xdr:col>10</xdr:col>
      <xdr:colOff>66675</xdr:colOff>
      <xdr:row>30</xdr:row>
      <xdr:rowOff>104775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560E33DB-74EB-7715-709E-D93CBE89224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610475" y="3486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76200</xdr:colOff>
      <xdr:row>8</xdr:row>
      <xdr:rowOff>85726</xdr:rowOff>
    </xdr:from>
    <xdr:to>
      <xdr:col>10</xdr:col>
      <xdr:colOff>428625</xdr:colOff>
      <xdr:row>9</xdr:row>
      <xdr:rowOff>95251</xdr:rowOff>
    </xdr:to>
    <xdr:grpSp>
      <xdr:nvGrpSpPr>
        <xdr:cNvPr id="12" name="Group 11">
          <a:extLst>
            <a:ext uri="{FF2B5EF4-FFF2-40B4-BE49-F238E27FC236}">
              <a16:creationId xmlns:a16="http://schemas.microsoft.com/office/drawing/2014/main" id="{DF988099-E508-D5D5-8088-4CBCF0801D8E}"/>
            </a:ext>
          </a:extLst>
        </xdr:cNvPr>
        <xdr:cNvGrpSpPr/>
      </xdr:nvGrpSpPr>
      <xdr:grpSpPr>
        <a:xfrm>
          <a:off x="9572625" y="1733551"/>
          <a:ext cx="1038225" cy="209550"/>
          <a:chOff x="8963025" y="1733550"/>
          <a:chExt cx="1381125" cy="295275"/>
        </a:xfrm>
      </xdr:grpSpPr>
      <xdr:sp macro="" textlink="">
        <xdr:nvSpPr>
          <xdr:cNvPr id="8" name="Star: 5 Points 7">
            <a:extLst>
              <a:ext uri="{FF2B5EF4-FFF2-40B4-BE49-F238E27FC236}">
                <a16:creationId xmlns:a16="http://schemas.microsoft.com/office/drawing/2014/main" id="{92A78703-F744-1498-086D-A3E46A768154}"/>
              </a:ext>
            </a:extLst>
          </xdr:cNvPr>
          <xdr:cNvSpPr/>
        </xdr:nvSpPr>
        <xdr:spPr>
          <a:xfrm>
            <a:off x="8963025" y="1733550"/>
            <a:ext cx="333375" cy="295275"/>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Star: 5 Points 8">
            <a:extLst>
              <a:ext uri="{FF2B5EF4-FFF2-40B4-BE49-F238E27FC236}">
                <a16:creationId xmlns:a16="http://schemas.microsoft.com/office/drawing/2014/main" id="{E1F5E62C-2B9D-4BFA-A77C-7CA5AE5CA227}"/>
              </a:ext>
            </a:extLst>
          </xdr:cNvPr>
          <xdr:cNvSpPr/>
        </xdr:nvSpPr>
        <xdr:spPr>
          <a:xfrm>
            <a:off x="9334500" y="1733550"/>
            <a:ext cx="333375" cy="295275"/>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Star: 5 Points 9">
            <a:extLst>
              <a:ext uri="{FF2B5EF4-FFF2-40B4-BE49-F238E27FC236}">
                <a16:creationId xmlns:a16="http://schemas.microsoft.com/office/drawing/2014/main" id="{25235880-E5B8-4DCA-8268-81AA02F1B2EF}"/>
              </a:ext>
            </a:extLst>
          </xdr:cNvPr>
          <xdr:cNvSpPr/>
        </xdr:nvSpPr>
        <xdr:spPr>
          <a:xfrm>
            <a:off x="9677400" y="1733550"/>
            <a:ext cx="333375" cy="295275"/>
          </a:xfrm>
          <a:prstGeom prst="star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Star: 5 Points 10">
            <a:extLst>
              <a:ext uri="{FF2B5EF4-FFF2-40B4-BE49-F238E27FC236}">
                <a16:creationId xmlns:a16="http://schemas.microsoft.com/office/drawing/2014/main" id="{92D81648-8E3E-4E21-8D14-0244945B46BB}"/>
              </a:ext>
            </a:extLst>
          </xdr:cNvPr>
          <xdr:cNvSpPr/>
        </xdr:nvSpPr>
        <xdr:spPr>
          <a:xfrm>
            <a:off x="10010775" y="1733550"/>
            <a:ext cx="333375" cy="295275"/>
          </a:xfrm>
          <a:prstGeom prst="star5">
            <a:avLst/>
          </a:prstGeom>
          <a:gradFill flip="none" rotWithShape="1">
            <a:gsLst>
              <a:gs pos="28000">
                <a:srgbClr val="FFC000"/>
              </a:gs>
              <a:gs pos="76000">
                <a:schemeClr val="accent4">
                  <a:lumMod val="5000"/>
                  <a:lumOff val="95000"/>
                </a:schemeClr>
              </a:gs>
              <a:gs pos="100000">
                <a:schemeClr val="accent4">
                  <a:lumMod val="45000"/>
                  <a:lumOff val="55000"/>
                </a:schemeClr>
              </a:gs>
              <a:gs pos="100000">
                <a:schemeClr val="accent4">
                  <a:lumMod val="45000"/>
                  <a:lumOff val="55000"/>
                </a:schemeClr>
              </a:gs>
              <a:gs pos="100000">
                <a:srgbClr val="FFFCF2"/>
              </a:gs>
              <a:gs pos="100000">
                <a:srgbClr val="FFFCF2"/>
              </a:gs>
              <a:gs pos="100000">
                <a:schemeClr val="accent4">
                  <a:lumMod val="5000"/>
                  <a:lumOff val="95000"/>
                </a:schemeClr>
              </a:gs>
              <a:gs pos="100000">
                <a:schemeClr val="accent4">
                  <a:lumMod val="30000"/>
                  <a:lumOff val="70000"/>
                </a:schemeClr>
              </a:gs>
            </a:gsLst>
            <a:lin ang="54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3</xdr:col>
      <xdr:colOff>190500</xdr:colOff>
      <xdr:row>30</xdr:row>
      <xdr:rowOff>57150</xdr:rowOff>
    </xdr:from>
    <xdr:to>
      <xdr:col>4</xdr:col>
      <xdr:colOff>1000125</xdr:colOff>
      <xdr:row>43</xdr:row>
      <xdr:rowOff>123825</xdr:rowOff>
    </xdr:to>
    <mc:AlternateContent xmlns:mc="http://schemas.openxmlformats.org/markup-compatibility/2006" xmlns:a14="http://schemas.microsoft.com/office/drawing/2010/main">
      <mc:Choice Requires="a14">
        <xdr:graphicFrame macro="">
          <xdr:nvGraphicFramePr>
            <xdr:cNvPr id="13" name="Education Field 1">
              <a:extLst>
                <a:ext uri="{FF2B5EF4-FFF2-40B4-BE49-F238E27FC236}">
                  <a16:creationId xmlns:a16="http://schemas.microsoft.com/office/drawing/2014/main" id="{95234E4F-F4B2-13B1-24AB-DA244B1D3E5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790950" y="6105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31</xdr:row>
      <xdr:rowOff>142875</xdr:rowOff>
    </xdr:from>
    <xdr:to>
      <xdr:col>7</xdr:col>
      <xdr:colOff>571500</xdr:colOff>
      <xdr:row>45</xdr:row>
      <xdr:rowOff>9525</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C2C1C617-27EC-16A6-6E39-9B6C3DCF682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57900" y="63912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1014412</xdr:colOff>
      <xdr:row>45</xdr:row>
      <xdr:rowOff>190500</xdr:rowOff>
    </xdr:from>
    <xdr:to>
      <xdr:col>4</xdr:col>
      <xdr:colOff>581025</xdr:colOff>
      <xdr:row>53</xdr:row>
      <xdr:rowOff>9525</xdr:rowOff>
    </xdr:to>
    <xdr:graphicFrame macro="">
      <xdr:nvGraphicFramePr>
        <xdr:cNvPr id="17" name="Chart 16">
          <a:extLst>
            <a:ext uri="{FF2B5EF4-FFF2-40B4-BE49-F238E27FC236}">
              <a16:creationId xmlns:a16="http://schemas.microsoft.com/office/drawing/2014/main" id="{A28374CC-4584-FFE0-8C25-3547619A6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561975</xdr:colOff>
      <xdr:row>45</xdr:row>
      <xdr:rowOff>190500</xdr:rowOff>
    </xdr:from>
    <xdr:to>
      <xdr:col>6</xdr:col>
      <xdr:colOff>157163</xdr:colOff>
      <xdr:row>53</xdr:row>
      <xdr:rowOff>9525</xdr:rowOff>
    </xdr:to>
    <xdr:graphicFrame macro="">
      <xdr:nvGraphicFramePr>
        <xdr:cNvPr id="18" name="Chart 17">
          <a:extLst>
            <a:ext uri="{FF2B5EF4-FFF2-40B4-BE49-F238E27FC236}">
              <a16:creationId xmlns:a16="http://schemas.microsoft.com/office/drawing/2014/main" id="{D334B3B5-4419-4EB9-9E5E-32E8CAB29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347662</xdr:colOff>
      <xdr:row>54</xdr:row>
      <xdr:rowOff>28575</xdr:rowOff>
    </xdr:from>
    <xdr:to>
      <xdr:col>4</xdr:col>
      <xdr:colOff>495300</xdr:colOff>
      <xdr:row>61</xdr:row>
      <xdr:rowOff>142875</xdr:rowOff>
    </xdr:to>
    <xdr:graphicFrame macro="">
      <xdr:nvGraphicFramePr>
        <xdr:cNvPr id="3" name="Chart 2">
          <a:extLst>
            <a:ext uri="{FF2B5EF4-FFF2-40B4-BE49-F238E27FC236}">
              <a16:creationId xmlns:a16="http://schemas.microsoft.com/office/drawing/2014/main" id="{AFA9C18F-67B5-C5CE-98B2-D97617497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685800</xdr:colOff>
      <xdr:row>59</xdr:row>
      <xdr:rowOff>171450</xdr:rowOff>
    </xdr:from>
    <xdr:to>
      <xdr:col>6</xdr:col>
      <xdr:colOff>390525</xdr:colOff>
      <xdr:row>73</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5EFFC38-0CD4-B54F-3254-0AEB689B9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428875" y="12020550"/>
              <a:ext cx="54102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1385887</xdr:colOff>
      <xdr:row>74</xdr:row>
      <xdr:rowOff>171450</xdr:rowOff>
    </xdr:from>
    <xdr:to>
      <xdr:col>6</xdr:col>
      <xdr:colOff>252412</xdr:colOff>
      <xdr:row>88</xdr:row>
      <xdr:rowOff>114300</xdr:rowOff>
    </xdr:to>
    <xdr:graphicFrame macro="">
      <xdr:nvGraphicFramePr>
        <xdr:cNvPr id="15" name="Chart 14">
          <a:extLst>
            <a:ext uri="{FF2B5EF4-FFF2-40B4-BE49-F238E27FC236}">
              <a16:creationId xmlns:a16="http://schemas.microsoft.com/office/drawing/2014/main" id="{E375CACB-C2D7-5F64-D4A7-CAD3B3767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347662</xdr:colOff>
      <xdr:row>90</xdr:row>
      <xdr:rowOff>95250</xdr:rowOff>
    </xdr:from>
    <xdr:to>
      <xdr:col>8</xdr:col>
      <xdr:colOff>519112</xdr:colOff>
      <xdr:row>104</xdr:row>
      <xdr:rowOff>38100</xdr:rowOff>
    </xdr:to>
    <xdr:graphicFrame macro="">
      <xdr:nvGraphicFramePr>
        <xdr:cNvPr id="16" name="Chart 15">
          <a:extLst>
            <a:ext uri="{FF2B5EF4-FFF2-40B4-BE49-F238E27FC236}">
              <a16:creationId xmlns:a16="http://schemas.microsoft.com/office/drawing/2014/main" id="{1D313ADE-4D2E-10BE-8EAC-45696AFFC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366712</xdr:colOff>
      <xdr:row>104</xdr:row>
      <xdr:rowOff>114300</xdr:rowOff>
    </xdr:from>
    <xdr:to>
      <xdr:col>10</xdr:col>
      <xdr:colOff>185737</xdr:colOff>
      <xdr:row>118</xdr:row>
      <xdr:rowOff>57150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4A2D3601-F356-E728-4DD8-2F7599CE0A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62637" y="209645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609599</xdr:colOff>
      <xdr:row>1</xdr:row>
      <xdr:rowOff>178253</xdr:rowOff>
    </xdr:from>
    <xdr:ext cx="15052222"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260474" y="368753"/>
          <a:ext cx="15052222"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3800" b="1">
                  <a:solidFill>
                    <a:srgbClr val="7030A0"/>
                  </a:solidFill>
                  <a:latin typeface="Lato"/>
                  <a:ea typeface="Lato"/>
                  <a:cs typeface="Lato"/>
                  <a:sym typeface="Lato"/>
                </a:rPr>
                <a:t>HR</a:t>
              </a:r>
              <a:r>
                <a:rPr lang="en-US" sz="3800" b="1" baseline="0">
                  <a:solidFill>
                    <a:srgbClr val="7030A0"/>
                  </a:solidFill>
                  <a:latin typeface="Lato"/>
                  <a:ea typeface="Lato"/>
                  <a:cs typeface="Lato"/>
                  <a:sym typeface="Lato"/>
                </a:rPr>
                <a:t> ANALYTICS DASHBOARD</a:t>
              </a:r>
              <a:endParaRPr sz="3800" b="1">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000" b="1">
                <a:solidFill>
                  <a:srgbClr val="C00000"/>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editAs="oneCell">
    <xdr:from>
      <xdr:col>2</xdr:col>
      <xdr:colOff>623203</xdr:colOff>
      <xdr:row>14</xdr:row>
      <xdr:rowOff>163287</xdr:rowOff>
    </xdr:from>
    <xdr:to>
      <xdr:col>7</xdr:col>
      <xdr:colOff>530676</xdr:colOff>
      <xdr:row>18</xdr:row>
      <xdr:rowOff>54429</xdr:rowOff>
    </xdr:to>
    <mc:AlternateContent xmlns:mc="http://schemas.openxmlformats.org/markup-compatibility/2006">
      <mc:Choice xmlns:a14="http://schemas.microsoft.com/office/drawing/2010/main" Requires="a14">
        <xdr:graphicFrame macro="">
          <xdr:nvGraphicFramePr>
            <xdr:cNvPr id="52" name="Gender 2">
              <a:extLst>
                <a:ext uri="{FF2B5EF4-FFF2-40B4-BE49-F238E27FC236}">
                  <a16:creationId xmlns:a16="http://schemas.microsoft.com/office/drawing/2014/main" id="{A1B61AC7-DCAB-4659-8475-CEEF6A5C5EB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924953" y="2830287"/>
              <a:ext cx="3161848" cy="653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296636</xdr:colOff>
      <xdr:row>2</xdr:row>
      <xdr:rowOff>108856</xdr:rowOff>
    </xdr:from>
    <xdr:ext cx="615043" cy="598715"/>
    <xdr:pic>
      <xdr:nvPicPr>
        <xdr:cNvPr id="29" name="image3.png">
          <a:extLst>
            <a:ext uri="{FF2B5EF4-FFF2-40B4-BE49-F238E27FC236}">
              <a16:creationId xmlns:a16="http://schemas.microsoft.com/office/drawing/2014/main" id="{CE3A41E9-47B0-4714-9EEE-45CDC6553C12}"/>
            </a:ext>
          </a:extLst>
        </xdr:cNvPr>
        <xdr:cNvPicPr preferRelativeResize="0"/>
      </xdr:nvPicPr>
      <xdr:blipFill>
        <a:blip xmlns:r="http://schemas.openxmlformats.org/officeDocument/2006/relationships" r:embed="rId1" cstate="print"/>
        <a:stretch>
          <a:fillRect/>
        </a:stretch>
      </xdr:blipFill>
      <xdr:spPr>
        <a:xfrm>
          <a:off x="10093779" y="489856"/>
          <a:ext cx="615043" cy="598715"/>
        </a:xfrm>
        <a:prstGeom prst="rect">
          <a:avLst/>
        </a:prstGeom>
        <a:noFill/>
        <a:ln>
          <a:noFill/>
        </a:ln>
      </xdr:spPr>
    </xdr:pic>
    <xdr:clientData fLocksWithSheet="0"/>
  </xdr:oneCellAnchor>
  <xdr:oneCellAnchor>
    <xdr:from>
      <xdr:col>2</xdr:col>
      <xdr:colOff>310243</xdr:colOff>
      <xdr:row>2</xdr:row>
      <xdr:rowOff>137432</xdr:rowOff>
    </xdr:from>
    <xdr:ext cx="542925" cy="523875"/>
    <xdr:pic>
      <xdr:nvPicPr>
        <xdr:cNvPr id="30" name="image1.png">
          <a:extLst>
            <a:ext uri="{FF2B5EF4-FFF2-40B4-BE49-F238E27FC236}">
              <a16:creationId xmlns:a16="http://schemas.microsoft.com/office/drawing/2014/main" id="{F5FB8C0E-AEF6-4D5F-839A-4B662E99CCD4}"/>
            </a:ext>
          </a:extLst>
        </xdr:cNvPr>
        <xdr:cNvPicPr preferRelativeResize="0"/>
      </xdr:nvPicPr>
      <xdr:blipFill>
        <a:blip xmlns:r="http://schemas.openxmlformats.org/officeDocument/2006/relationships" r:embed="rId2" cstate="print"/>
        <a:stretch>
          <a:fillRect/>
        </a:stretch>
      </xdr:blipFill>
      <xdr:spPr>
        <a:xfrm>
          <a:off x="1616529" y="518432"/>
          <a:ext cx="542925" cy="523875"/>
        </a:xfrm>
        <a:prstGeom prst="rect">
          <a:avLst/>
        </a:prstGeom>
        <a:noFill/>
      </xdr:spPr>
    </xdr:pic>
    <xdr:clientData fLocksWithSheet="0"/>
  </xdr:oneCellAnchor>
  <xdr:twoCellAnchor>
    <xdr:from>
      <xdr:col>16</xdr:col>
      <xdr:colOff>235384</xdr:colOff>
      <xdr:row>2</xdr:row>
      <xdr:rowOff>95255</xdr:rowOff>
    </xdr:from>
    <xdr:to>
      <xdr:col>19</xdr:col>
      <xdr:colOff>466706</xdr:colOff>
      <xdr:row>5</xdr:row>
      <xdr:rowOff>149679</xdr:rowOff>
    </xdr:to>
    <xdr:sp macro="" textlink="">
      <xdr:nvSpPr>
        <xdr:cNvPr id="31" name="TextBox 30">
          <a:extLst>
            <a:ext uri="{FF2B5EF4-FFF2-40B4-BE49-F238E27FC236}">
              <a16:creationId xmlns:a16="http://schemas.microsoft.com/office/drawing/2014/main" id="{C1F37639-C3B6-8B91-4AAD-9326C0A2B273}"/>
            </a:ext>
          </a:extLst>
        </xdr:cNvPr>
        <xdr:cNvSpPr txBox="1"/>
      </xdr:nvSpPr>
      <xdr:spPr>
        <a:xfrm>
          <a:off x="10685670" y="476255"/>
          <a:ext cx="2190750" cy="625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rgbClr val="C00000"/>
              </a:solidFill>
              <a:effectLst/>
              <a:latin typeface="Segoe UI Black" panose="020B0A02040204020203" pitchFamily="34" charset="0"/>
              <a:ea typeface="Segoe UI Black" panose="020B0A02040204020203" pitchFamily="34" charset="0"/>
              <a:cs typeface="+mn-cs"/>
            </a:rPr>
            <a:t>JOB</a:t>
          </a:r>
          <a:r>
            <a:rPr lang="en-US" sz="1400" b="1" baseline="0">
              <a:solidFill>
                <a:srgbClr val="C00000"/>
              </a:solidFill>
              <a:effectLst/>
              <a:latin typeface="Segoe UI Black" panose="020B0A02040204020203" pitchFamily="34" charset="0"/>
              <a:ea typeface="Segoe UI Black" panose="020B0A02040204020203" pitchFamily="34" charset="0"/>
              <a:cs typeface="+mn-cs"/>
            </a:rPr>
            <a:t> SATISFACTION RATING</a:t>
          </a:r>
          <a:endParaRPr lang="en-IN" sz="1400">
            <a:solidFill>
              <a:srgbClr val="C00000"/>
            </a:solidFill>
            <a:effectLst/>
            <a:latin typeface="Segoe UI Black" panose="020B0A02040204020203" pitchFamily="34" charset="0"/>
            <a:ea typeface="Segoe UI Black" panose="020B0A02040204020203" pitchFamily="34" charset="0"/>
          </a:endParaRPr>
        </a:p>
        <a:p>
          <a:endParaRPr lang="en-IN" sz="1800"/>
        </a:p>
      </xdr:txBody>
    </xdr:sp>
    <xdr:clientData/>
  </xdr:twoCellAnchor>
  <xdr:twoCellAnchor>
    <xdr:from>
      <xdr:col>2</xdr:col>
      <xdr:colOff>217714</xdr:colOff>
      <xdr:row>7</xdr:row>
      <xdr:rowOff>55789</xdr:rowOff>
    </xdr:from>
    <xdr:to>
      <xdr:col>4</xdr:col>
      <xdr:colOff>616179</xdr:colOff>
      <xdr:row>9</xdr:row>
      <xdr:rowOff>34789</xdr:rowOff>
    </xdr:to>
    <xdr:sp macro="" textlink="KPI!A8">
      <xdr:nvSpPr>
        <xdr:cNvPr id="32" name="TextBox 31">
          <a:extLst>
            <a:ext uri="{FF2B5EF4-FFF2-40B4-BE49-F238E27FC236}">
              <a16:creationId xmlns:a16="http://schemas.microsoft.com/office/drawing/2014/main" id="{4A7A0A23-9567-CE70-05AD-9A61B2FF2B08}"/>
            </a:ext>
          </a:extLst>
        </xdr:cNvPr>
        <xdr:cNvSpPr txBox="1"/>
      </xdr:nvSpPr>
      <xdr:spPr>
        <a:xfrm>
          <a:off x="1524000" y="1389289"/>
          <a:ext cx="170475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C0773A-89D5-4EA3-AB14-A5EAB562489E}" type="TxLink">
            <a:rPr lang="en-US" sz="1400" b="1" i="0" u="none" strike="noStrike">
              <a:solidFill>
                <a:srgbClr val="000000"/>
              </a:solidFill>
              <a:latin typeface="Segoe UI Black" panose="020B0A02040204020203" pitchFamily="34" charset="0"/>
              <a:ea typeface="Segoe UI Black" panose="020B0A02040204020203" pitchFamily="34" charset="0"/>
              <a:cs typeface="Calibri"/>
            </a:rPr>
            <a:pPr/>
            <a:t>Total employees</a:t>
          </a:fld>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11</xdr:col>
      <xdr:colOff>408214</xdr:colOff>
      <xdr:row>7</xdr:row>
      <xdr:rowOff>55789</xdr:rowOff>
    </xdr:from>
    <xdr:to>
      <xdr:col>13</xdr:col>
      <xdr:colOff>627065</xdr:colOff>
      <xdr:row>9</xdr:row>
      <xdr:rowOff>34789</xdr:rowOff>
    </xdr:to>
    <xdr:sp macro="" textlink="KPI!C8">
      <xdr:nvSpPr>
        <xdr:cNvPr id="33" name="TextBox 32">
          <a:extLst>
            <a:ext uri="{FF2B5EF4-FFF2-40B4-BE49-F238E27FC236}">
              <a16:creationId xmlns:a16="http://schemas.microsoft.com/office/drawing/2014/main" id="{84540164-6912-4A98-9661-8607B17A055E}"/>
            </a:ext>
          </a:extLst>
        </xdr:cNvPr>
        <xdr:cNvSpPr txBox="1"/>
      </xdr:nvSpPr>
      <xdr:spPr>
        <a:xfrm>
          <a:off x="7592785" y="1389289"/>
          <a:ext cx="1525137"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992B0D-1D32-4CA0-805B-4CD4FA64F2D8}" type="TxLink">
            <a:rPr lang="en-US" sz="1400" b="1" i="0" u="none" strike="noStrike">
              <a:solidFill>
                <a:srgbClr val="000000"/>
              </a:solidFill>
              <a:latin typeface="Segoe UI Black" panose="020B0A02040204020203" pitchFamily="34" charset="0"/>
              <a:ea typeface="Segoe UI Black" panose="020B0A02040204020203" pitchFamily="34" charset="0"/>
              <a:cs typeface="Calibri"/>
            </a:rPr>
            <a:pPr marL="0" indent="0"/>
            <a:t>Avg. Age</a:t>
          </a:fld>
          <a:endParaRPr lang="en-IN"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0</xdr:colOff>
      <xdr:row>7</xdr:row>
      <xdr:rowOff>55789</xdr:rowOff>
    </xdr:from>
    <xdr:to>
      <xdr:col>9</xdr:col>
      <xdr:colOff>316820</xdr:colOff>
      <xdr:row>9</xdr:row>
      <xdr:rowOff>34789</xdr:rowOff>
    </xdr:to>
    <xdr:sp macro="" textlink="KPI!B8">
      <xdr:nvSpPr>
        <xdr:cNvPr id="34" name="TextBox 33">
          <a:extLst>
            <a:ext uri="{FF2B5EF4-FFF2-40B4-BE49-F238E27FC236}">
              <a16:creationId xmlns:a16="http://schemas.microsoft.com/office/drawing/2014/main" id="{C2340854-1769-47B8-8871-8D2A8E928C52}"/>
            </a:ext>
          </a:extLst>
        </xdr:cNvPr>
        <xdr:cNvSpPr txBox="1"/>
      </xdr:nvSpPr>
      <xdr:spPr>
        <a:xfrm>
          <a:off x="4572000" y="1389289"/>
          <a:ext cx="1623106"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722DA2-457A-4C25-B0B1-E5163B65A68F}" type="TxLink">
            <a:rPr lang="en-US" sz="1400" b="1" i="0" u="none" strike="noStrike">
              <a:solidFill>
                <a:srgbClr val="000000"/>
              </a:solidFill>
              <a:latin typeface="Segoe UI Black" panose="020B0A02040204020203" pitchFamily="34" charset="0"/>
              <a:ea typeface="Segoe UI Black" panose="020B0A02040204020203" pitchFamily="34" charset="0"/>
              <a:cs typeface="Calibri"/>
            </a:rPr>
            <a:pPr marL="0" indent="0"/>
            <a:t>Attrition</a:t>
          </a:fld>
          <a:endParaRPr lang="en-IN"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15</xdr:col>
      <xdr:colOff>639535</xdr:colOff>
      <xdr:row>7</xdr:row>
      <xdr:rowOff>55789</xdr:rowOff>
    </xdr:from>
    <xdr:to>
      <xdr:col>18</xdr:col>
      <xdr:colOff>286886</xdr:colOff>
      <xdr:row>9</xdr:row>
      <xdr:rowOff>34789</xdr:rowOff>
    </xdr:to>
    <xdr:sp macro="" textlink="KPI!D8">
      <xdr:nvSpPr>
        <xdr:cNvPr id="35" name="TextBox 34">
          <a:extLst>
            <a:ext uri="{FF2B5EF4-FFF2-40B4-BE49-F238E27FC236}">
              <a16:creationId xmlns:a16="http://schemas.microsoft.com/office/drawing/2014/main" id="{92A0F104-9104-4D98-B3E0-0258E6CB227C}"/>
            </a:ext>
          </a:extLst>
        </xdr:cNvPr>
        <xdr:cNvSpPr txBox="1"/>
      </xdr:nvSpPr>
      <xdr:spPr>
        <a:xfrm>
          <a:off x="10436678" y="1389289"/>
          <a:ext cx="1606779"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43547A-0C9D-404C-B4C6-62F41913B08B}" type="TxLink">
            <a:rPr lang="en-US" sz="1400" b="1" i="0" u="none" strike="noStrike">
              <a:solidFill>
                <a:srgbClr val="000000"/>
              </a:solidFill>
              <a:latin typeface="Segoe UI Black" panose="020B0A02040204020203" pitchFamily="34" charset="0"/>
              <a:ea typeface="Segoe UI Black" panose="020B0A02040204020203" pitchFamily="34" charset="0"/>
              <a:cs typeface="Calibri"/>
            </a:rPr>
            <a:pPr marL="0" indent="0"/>
            <a:t>Active Employee</a:t>
          </a:fld>
          <a:endParaRPr lang="en-IN"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449035</xdr:colOff>
      <xdr:row>7</xdr:row>
      <xdr:rowOff>55789</xdr:rowOff>
    </xdr:from>
    <xdr:to>
      <xdr:col>22</xdr:col>
      <xdr:colOff>613458</xdr:colOff>
      <xdr:row>9</xdr:row>
      <xdr:rowOff>34789</xdr:rowOff>
    </xdr:to>
    <xdr:sp macro="" textlink="KPI!E8">
      <xdr:nvSpPr>
        <xdr:cNvPr id="36" name="TextBox 35">
          <a:extLst>
            <a:ext uri="{FF2B5EF4-FFF2-40B4-BE49-F238E27FC236}">
              <a16:creationId xmlns:a16="http://schemas.microsoft.com/office/drawing/2014/main" id="{14339938-36D9-4794-B799-96EE6BA00D02}"/>
            </a:ext>
          </a:extLst>
        </xdr:cNvPr>
        <xdr:cNvSpPr txBox="1"/>
      </xdr:nvSpPr>
      <xdr:spPr>
        <a:xfrm>
          <a:off x="13511892" y="1389289"/>
          <a:ext cx="1470709"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FDF04E-2A41-466B-ACCE-9F8CCC7B90AF}" type="TxLink">
            <a:rPr lang="en-US" sz="1400" b="1" i="0" u="none" strike="noStrike">
              <a:solidFill>
                <a:srgbClr val="000000"/>
              </a:solidFill>
              <a:latin typeface="Segoe UI Black" panose="020B0A02040204020203" pitchFamily="34" charset="0"/>
              <a:ea typeface="Segoe UI Black" panose="020B0A02040204020203" pitchFamily="34" charset="0"/>
              <a:cs typeface="Calibri"/>
            </a:rPr>
            <a:pPr marL="0" indent="0"/>
            <a:t>Attrition rate</a:t>
          </a:fld>
          <a:endParaRPr lang="en-IN"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xdr:col>
      <xdr:colOff>585106</xdr:colOff>
      <xdr:row>9</xdr:row>
      <xdr:rowOff>137432</xdr:rowOff>
    </xdr:from>
    <xdr:to>
      <xdr:col>4</xdr:col>
      <xdr:colOff>640668</xdr:colOff>
      <xdr:row>11</xdr:row>
      <xdr:rowOff>116432</xdr:rowOff>
    </xdr:to>
    <xdr:sp macro="" textlink="KPI!A9">
      <xdr:nvSpPr>
        <xdr:cNvPr id="37" name="TextBox 36">
          <a:extLst>
            <a:ext uri="{FF2B5EF4-FFF2-40B4-BE49-F238E27FC236}">
              <a16:creationId xmlns:a16="http://schemas.microsoft.com/office/drawing/2014/main" id="{18B1057F-4E58-4C9C-BFEC-60D38F6A98CC}"/>
            </a:ext>
          </a:extLst>
        </xdr:cNvPr>
        <xdr:cNvSpPr txBox="1"/>
      </xdr:nvSpPr>
      <xdr:spPr>
        <a:xfrm>
          <a:off x="1891392" y="1851932"/>
          <a:ext cx="1361847"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4F570E-2BBA-4782-9736-FCBF8AB2C683}" type="TxLink">
            <a:rPr lang="en-US" sz="1400" b="1" i="0" u="none" strike="noStrike">
              <a:solidFill>
                <a:sysClr val="windowText" lastClr="000000"/>
              </a:solidFill>
              <a:latin typeface="Segoe UI Black" panose="020B0A02040204020203" pitchFamily="34" charset="0"/>
              <a:ea typeface="Segoe UI Black" panose="020B0A02040204020203" pitchFamily="34" charset="0"/>
              <a:cs typeface="Calibri"/>
            </a:rPr>
            <a:pPr/>
            <a:t>1470</a:t>
          </a:fld>
          <a:endParaRPr lang="en-IN" sz="1400" b="1">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176893</xdr:colOff>
      <xdr:row>9</xdr:row>
      <xdr:rowOff>137432</xdr:rowOff>
    </xdr:from>
    <xdr:to>
      <xdr:col>9</xdr:col>
      <xdr:colOff>286885</xdr:colOff>
      <xdr:row>11</xdr:row>
      <xdr:rowOff>116432</xdr:rowOff>
    </xdr:to>
    <xdr:sp macro="" textlink="KPI!B9">
      <xdr:nvSpPr>
        <xdr:cNvPr id="38" name="TextBox 37">
          <a:extLst>
            <a:ext uri="{FF2B5EF4-FFF2-40B4-BE49-F238E27FC236}">
              <a16:creationId xmlns:a16="http://schemas.microsoft.com/office/drawing/2014/main" id="{A3AE4364-F6A7-4E36-ADBC-9B529DADF154}"/>
            </a:ext>
          </a:extLst>
        </xdr:cNvPr>
        <xdr:cNvSpPr txBox="1"/>
      </xdr:nvSpPr>
      <xdr:spPr>
        <a:xfrm>
          <a:off x="4748893" y="1851932"/>
          <a:ext cx="1416278"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2A1684-4604-4835-9F1C-9D4043EDE6B1}" type="TxLink">
            <a:rPr lang="en-US" sz="1400" b="1" i="0" u="none" strike="noStrike">
              <a:solidFill>
                <a:sysClr val="windowText" lastClr="000000"/>
              </a:solidFill>
              <a:latin typeface="Segoe UI Black" panose="020B0A02040204020203" pitchFamily="34" charset="0"/>
              <a:ea typeface="Segoe UI Black" panose="020B0A02040204020203" pitchFamily="34" charset="0"/>
              <a:cs typeface="Calibri"/>
            </a:rPr>
            <a:pPr marL="0" indent="0"/>
            <a:t>237</a:t>
          </a:fld>
          <a:endParaRPr lang="en-IN" sz="1400" b="1"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476250</xdr:colOff>
      <xdr:row>9</xdr:row>
      <xdr:rowOff>137432</xdr:rowOff>
    </xdr:from>
    <xdr:to>
      <xdr:col>13</xdr:col>
      <xdr:colOff>559028</xdr:colOff>
      <xdr:row>11</xdr:row>
      <xdr:rowOff>116432</xdr:rowOff>
    </xdr:to>
    <xdr:sp macro="" textlink="KPI!C9">
      <xdr:nvSpPr>
        <xdr:cNvPr id="39" name="TextBox 38">
          <a:extLst>
            <a:ext uri="{FF2B5EF4-FFF2-40B4-BE49-F238E27FC236}">
              <a16:creationId xmlns:a16="http://schemas.microsoft.com/office/drawing/2014/main" id="{6F7C2C28-A8B6-4BC4-85BC-7FDDF3E4C0C9}"/>
            </a:ext>
          </a:extLst>
        </xdr:cNvPr>
        <xdr:cNvSpPr txBox="1"/>
      </xdr:nvSpPr>
      <xdr:spPr>
        <a:xfrm>
          <a:off x="7660821" y="1851932"/>
          <a:ext cx="1389064"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625291-D027-4FF9-93FA-0185E36BC14B}" type="TxLink">
            <a:rPr lang="en-US" sz="1400" b="1" i="0" u="none" strike="noStrike">
              <a:solidFill>
                <a:sysClr val="windowText" lastClr="000000"/>
              </a:solidFill>
              <a:latin typeface="Segoe UI Black" panose="020B0A02040204020203" pitchFamily="34" charset="0"/>
              <a:ea typeface="Segoe UI Black" panose="020B0A02040204020203" pitchFamily="34" charset="0"/>
              <a:cs typeface="Calibri"/>
            </a:rPr>
            <a:pPr marL="0" indent="0"/>
            <a:t>36.92</a:t>
          </a:fld>
          <a:endParaRPr lang="en-IN" sz="1400" b="1"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95250</xdr:colOff>
      <xdr:row>9</xdr:row>
      <xdr:rowOff>137432</xdr:rowOff>
    </xdr:from>
    <xdr:to>
      <xdr:col>18</xdr:col>
      <xdr:colOff>259671</xdr:colOff>
      <xdr:row>11</xdr:row>
      <xdr:rowOff>116432</xdr:rowOff>
    </xdr:to>
    <xdr:sp macro="" textlink="KPI!D9">
      <xdr:nvSpPr>
        <xdr:cNvPr id="40" name="TextBox 39">
          <a:extLst>
            <a:ext uri="{FF2B5EF4-FFF2-40B4-BE49-F238E27FC236}">
              <a16:creationId xmlns:a16="http://schemas.microsoft.com/office/drawing/2014/main" id="{65726793-ACEA-48D5-B45C-F1E1A8F6B5DD}"/>
            </a:ext>
          </a:extLst>
        </xdr:cNvPr>
        <xdr:cNvSpPr txBox="1"/>
      </xdr:nvSpPr>
      <xdr:spPr>
        <a:xfrm>
          <a:off x="10545536" y="1851932"/>
          <a:ext cx="1470706"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A70574-7147-4055-B642-D7F452E552E6}" type="TxLink">
            <a:rPr lang="en-US" sz="1400" b="1" i="0" u="none" strike="noStrike">
              <a:solidFill>
                <a:sysClr val="windowText" lastClr="000000"/>
              </a:solidFill>
              <a:latin typeface="Segoe UI Black" panose="020B0A02040204020203" pitchFamily="34" charset="0"/>
              <a:ea typeface="Segoe UI Black" panose="020B0A02040204020203" pitchFamily="34" charset="0"/>
              <a:cs typeface="Calibri"/>
            </a:rPr>
            <a:pPr marL="0" indent="0"/>
            <a:t>1233</a:t>
          </a:fld>
          <a:endParaRPr lang="en-IN" sz="1400" b="1"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285750</xdr:colOff>
      <xdr:row>9</xdr:row>
      <xdr:rowOff>137432</xdr:rowOff>
    </xdr:from>
    <xdr:to>
      <xdr:col>22</xdr:col>
      <xdr:colOff>531814</xdr:colOff>
      <xdr:row>11</xdr:row>
      <xdr:rowOff>116432</xdr:rowOff>
    </xdr:to>
    <xdr:sp macro="" textlink="KPI!E9">
      <xdr:nvSpPr>
        <xdr:cNvPr id="41" name="TextBox 40">
          <a:extLst>
            <a:ext uri="{FF2B5EF4-FFF2-40B4-BE49-F238E27FC236}">
              <a16:creationId xmlns:a16="http://schemas.microsoft.com/office/drawing/2014/main" id="{54EE2B78-D1BE-4A4F-B5D9-11C032F15CA0}"/>
            </a:ext>
          </a:extLst>
        </xdr:cNvPr>
        <xdr:cNvSpPr txBox="1"/>
      </xdr:nvSpPr>
      <xdr:spPr>
        <a:xfrm>
          <a:off x="13348607" y="1851932"/>
          <a:ext cx="155235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9B3D94-420B-4EF3-A8FC-DE7FACFC87DD}" type="TxLink">
            <a:rPr lang="en-US" sz="1400" b="1" i="0" u="none" strike="noStrike">
              <a:solidFill>
                <a:sysClr val="windowText" lastClr="000000"/>
              </a:solidFill>
              <a:latin typeface="Segoe UI Black" panose="020B0A02040204020203" pitchFamily="34" charset="0"/>
              <a:ea typeface="Segoe UI Black" panose="020B0A02040204020203" pitchFamily="34" charset="0"/>
              <a:cs typeface="Calibri"/>
            </a:rPr>
            <a:pPr marL="0" indent="0"/>
            <a:t>16%</a:t>
          </a:fld>
          <a:endParaRPr lang="en-IN" sz="1400" b="1" i="0" u="none" strike="noStrike">
            <a:solidFill>
              <a:sysClr val="windowText" lastClr="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5</xdr:col>
      <xdr:colOff>217715</xdr:colOff>
      <xdr:row>7</xdr:row>
      <xdr:rowOff>85725</xdr:rowOff>
    </xdr:from>
    <xdr:ext cx="544285" cy="472168"/>
    <xdr:pic>
      <xdr:nvPicPr>
        <xdr:cNvPr id="42" name="image4.png">
          <a:extLst>
            <a:ext uri="{FF2B5EF4-FFF2-40B4-BE49-F238E27FC236}">
              <a16:creationId xmlns:a16="http://schemas.microsoft.com/office/drawing/2014/main" id="{A74E1638-2542-43EC-9CA3-62A251728E66}"/>
            </a:ext>
          </a:extLst>
        </xdr:cNvPr>
        <xdr:cNvPicPr preferRelativeResize="0"/>
      </xdr:nvPicPr>
      <xdr:blipFill>
        <a:blip xmlns:r="http://schemas.openxmlformats.org/officeDocument/2006/relationships" r:embed="rId3" cstate="print"/>
        <a:stretch>
          <a:fillRect/>
        </a:stretch>
      </xdr:blipFill>
      <xdr:spPr>
        <a:xfrm>
          <a:off x="3483429" y="1419225"/>
          <a:ext cx="544285" cy="472168"/>
        </a:xfrm>
        <a:prstGeom prst="rect">
          <a:avLst/>
        </a:prstGeom>
        <a:noFill/>
      </xdr:spPr>
    </xdr:pic>
    <xdr:clientData fLocksWithSheet="0"/>
  </xdr:oneCellAnchor>
  <xdr:oneCellAnchor>
    <xdr:from>
      <xdr:col>18</xdr:col>
      <xdr:colOff>533300</xdr:colOff>
      <xdr:row>7</xdr:row>
      <xdr:rowOff>110216</xdr:rowOff>
    </xdr:from>
    <xdr:ext cx="552526" cy="515711"/>
    <xdr:pic>
      <xdr:nvPicPr>
        <xdr:cNvPr id="43" name="image5.png">
          <a:extLst>
            <a:ext uri="{FF2B5EF4-FFF2-40B4-BE49-F238E27FC236}">
              <a16:creationId xmlns:a16="http://schemas.microsoft.com/office/drawing/2014/main" id="{B660CC00-7536-4C4E-8227-A191553D35DA}"/>
            </a:ext>
          </a:extLst>
        </xdr:cNvPr>
        <xdr:cNvPicPr preferRelativeResize="0"/>
      </xdr:nvPicPr>
      <xdr:blipFill>
        <a:blip xmlns:r="http://schemas.openxmlformats.org/officeDocument/2006/relationships" r:embed="rId4" cstate="print"/>
        <a:stretch>
          <a:fillRect/>
        </a:stretch>
      </xdr:blipFill>
      <xdr:spPr>
        <a:xfrm>
          <a:off x="12289871" y="1443716"/>
          <a:ext cx="552526" cy="515711"/>
        </a:xfrm>
        <a:prstGeom prst="rect">
          <a:avLst/>
        </a:prstGeom>
        <a:noFill/>
      </xdr:spPr>
    </xdr:pic>
    <xdr:clientData fLocksWithSheet="0"/>
  </xdr:oneCellAnchor>
  <xdr:oneCellAnchor>
    <xdr:from>
      <xdr:col>23</xdr:col>
      <xdr:colOff>183162</xdr:colOff>
      <xdr:row>7</xdr:row>
      <xdr:rowOff>123823</xdr:rowOff>
    </xdr:from>
    <xdr:ext cx="586854" cy="556534"/>
    <xdr:pic>
      <xdr:nvPicPr>
        <xdr:cNvPr id="44" name="image2.png">
          <a:extLst>
            <a:ext uri="{FF2B5EF4-FFF2-40B4-BE49-F238E27FC236}">
              <a16:creationId xmlns:a16="http://schemas.microsoft.com/office/drawing/2014/main" id="{C077203E-4BFE-49A7-AD79-6A4ACE0B690A}"/>
            </a:ext>
          </a:extLst>
        </xdr:cNvPr>
        <xdr:cNvPicPr preferRelativeResize="0"/>
      </xdr:nvPicPr>
      <xdr:blipFill>
        <a:blip xmlns:r="http://schemas.openxmlformats.org/officeDocument/2006/relationships" r:embed="rId5" cstate="print"/>
        <a:stretch>
          <a:fillRect/>
        </a:stretch>
      </xdr:blipFill>
      <xdr:spPr>
        <a:xfrm>
          <a:off x="15205448" y="1457323"/>
          <a:ext cx="586854" cy="556534"/>
        </a:xfrm>
        <a:prstGeom prst="rect">
          <a:avLst/>
        </a:prstGeom>
        <a:noFill/>
      </xdr:spPr>
    </xdr:pic>
    <xdr:clientData fLocksWithSheet="0"/>
  </xdr:oneCellAnchor>
  <xdr:oneCellAnchor>
    <xdr:from>
      <xdr:col>14</xdr:col>
      <xdr:colOff>149679</xdr:colOff>
      <xdr:row>7</xdr:row>
      <xdr:rowOff>91166</xdr:rowOff>
    </xdr:from>
    <xdr:ext cx="639535" cy="548369"/>
    <xdr:pic>
      <xdr:nvPicPr>
        <xdr:cNvPr id="45" name="image6.png">
          <a:extLst>
            <a:ext uri="{FF2B5EF4-FFF2-40B4-BE49-F238E27FC236}">
              <a16:creationId xmlns:a16="http://schemas.microsoft.com/office/drawing/2014/main" id="{6A352857-C358-4238-A2CB-1E5CDE4DA064}"/>
            </a:ext>
          </a:extLst>
        </xdr:cNvPr>
        <xdr:cNvPicPr preferRelativeResize="0"/>
      </xdr:nvPicPr>
      <xdr:blipFill>
        <a:blip xmlns:r="http://schemas.openxmlformats.org/officeDocument/2006/relationships" r:embed="rId6" cstate="print"/>
        <a:stretch>
          <a:fillRect/>
        </a:stretch>
      </xdr:blipFill>
      <xdr:spPr>
        <a:xfrm>
          <a:off x="9293679" y="1424666"/>
          <a:ext cx="639535" cy="548369"/>
        </a:xfrm>
        <a:prstGeom prst="rect">
          <a:avLst/>
        </a:prstGeom>
        <a:noFill/>
      </xdr:spPr>
    </xdr:pic>
    <xdr:clientData fLocksWithSheet="0"/>
  </xdr:oneCellAnchor>
  <xdr:oneCellAnchor>
    <xdr:from>
      <xdr:col>9</xdr:col>
      <xdr:colOff>476251</xdr:colOff>
      <xdr:row>7</xdr:row>
      <xdr:rowOff>115660</xdr:rowOff>
    </xdr:from>
    <xdr:ext cx="669466" cy="591912"/>
    <xdr:pic>
      <xdr:nvPicPr>
        <xdr:cNvPr id="46" name="image7.png">
          <a:extLst>
            <a:ext uri="{FF2B5EF4-FFF2-40B4-BE49-F238E27FC236}">
              <a16:creationId xmlns:a16="http://schemas.microsoft.com/office/drawing/2014/main" id="{52EA1D14-0B83-4B7A-8BF1-055DD0518D93}"/>
            </a:ext>
          </a:extLst>
        </xdr:cNvPr>
        <xdr:cNvPicPr preferRelativeResize="0"/>
      </xdr:nvPicPr>
      <xdr:blipFill>
        <a:blip xmlns:r="http://schemas.openxmlformats.org/officeDocument/2006/relationships" r:embed="rId7" cstate="print"/>
        <a:stretch>
          <a:fillRect/>
        </a:stretch>
      </xdr:blipFill>
      <xdr:spPr>
        <a:xfrm>
          <a:off x="6354537" y="1449160"/>
          <a:ext cx="669466" cy="591912"/>
        </a:xfrm>
        <a:prstGeom prst="rect">
          <a:avLst/>
        </a:prstGeom>
        <a:noFill/>
      </xdr:spPr>
    </xdr:pic>
    <xdr:clientData fLocksWithSheet="0"/>
  </xdr:oneCellAnchor>
  <xdr:twoCellAnchor>
    <xdr:from>
      <xdr:col>20</xdr:col>
      <xdr:colOff>272141</xdr:colOff>
      <xdr:row>1</xdr:row>
      <xdr:rowOff>190499</xdr:rowOff>
    </xdr:from>
    <xdr:to>
      <xdr:col>24</xdr:col>
      <xdr:colOff>544284</xdr:colOff>
      <xdr:row>7</xdr:row>
      <xdr:rowOff>95248</xdr:rowOff>
    </xdr:to>
    <xdr:graphicFrame macro="">
      <xdr:nvGraphicFramePr>
        <xdr:cNvPr id="59" name="Chart 58">
          <a:extLst>
            <a:ext uri="{FF2B5EF4-FFF2-40B4-BE49-F238E27FC236}">
              <a16:creationId xmlns:a16="http://schemas.microsoft.com/office/drawing/2014/main" id="{59A3933C-B0BC-4360-9FFA-5E9F364D8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17690</xdr:colOff>
      <xdr:row>3</xdr:row>
      <xdr:rowOff>81646</xdr:rowOff>
    </xdr:from>
    <xdr:to>
      <xdr:col>23</xdr:col>
      <xdr:colOff>547010</xdr:colOff>
      <xdr:row>5</xdr:row>
      <xdr:rowOff>66678</xdr:rowOff>
    </xdr:to>
    <xdr:grpSp>
      <xdr:nvGrpSpPr>
        <xdr:cNvPr id="54" name="Group 53">
          <a:extLst>
            <a:ext uri="{FF2B5EF4-FFF2-40B4-BE49-F238E27FC236}">
              <a16:creationId xmlns:a16="http://schemas.microsoft.com/office/drawing/2014/main" id="{8DD252DF-7240-4902-8E85-839BADEC64FA}"/>
            </a:ext>
          </a:extLst>
        </xdr:cNvPr>
        <xdr:cNvGrpSpPr/>
      </xdr:nvGrpSpPr>
      <xdr:grpSpPr>
        <a:xfrm>
          <a:off x="13686065" y="653146"/>
          <a:ext cx="1831070" cy="366032"/>
          <a:chOff x="8963024" y="1733550"/>
          <a:chExt cx="1381126" cy="295275"/>
        </a:xfrm>
      </xdr:grpSpPr>
      <xdr:sp macro="" textlink="">
        <xdr:nvSpPr>
          <xdr:cNvPr id="55" name="Star: 5 Points 54">
            <a:extLst>
              <a:ext uri="{FF2B5EF4-FFF2-40B4-BE49-F238E27FC236}">
                <a16:creationId xmlns:a16="http://schemas.microsoft.com/office/drawing/2014/main" id="{26DB9C68-F27B-FD18-4DFB-76DCF725D5CE}"/>
              </a:ext>
            </a:extLst>
          </xdr:cNvPr>
          <xdr:cNvSpPr/>
        </xdr:nvSpPr>
        <xdr:spPr>
          <a:xfrm>
            <a:off x="8963024" y="1733550"/>
            <a:ext cx="333375" cy="295275"/>
          </a:xfrm>
          <a:prstGeom prst="star5">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Star: 5 Points 55">
            <a:extLst>
              <a:ext uri="{FF2B5EF4-FFF2-40B4-BE49-F238E27FC236}">
                <a16:creationId xmlns:a16="http://schemas.microsoft.com/office/drawing/2014/main" id="{D638EA46-A67E-98E9-25B4-65E4CE2DCBBE}"/>
              </a:ext>
            </a:extLst>
          </xdr:cNvPr>
          <xdr:cNvSpPr/>
        </xdr:nvSpPr>
        <xdr:spPr>
          <a:xfrm>
            <a:off x="9334500" y="1733550"/>
            <a:ext cx="333375" cy="295275"/>
          </a:xfrm>
          <a:prstGeom prst="star5">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Star: 5 Points 56">
            <a:extLst>
              <a:ext uri="{FF2B5EF4-FFF2-40B4-BE49-F238E27FC236}">
                <a16:creationId xmlns:a16="http://schemas.microsoft.com/office/drawing/2014/main" id="{E5152AAD-ED6E-D0D3-2311-730DB66D219F}"/>
              </a:ext>
            </a:extLst>
          </xdr:cNvPr>
          <xdr:cNvSpPr/>
        </xdr:nvSpPr>
        <xdr:spPr>
          <a:xfrm>
            <a:off x="9677396" y="1733550"/>
            <a:ext cx="333375" cy="295275"/>
          </a:xfrm>
          <a:prstGeom prst="star5">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Star: 5 Points 57">
            <a:extLst>
              <a:ext uri="{FF2B5EF4-FFF2-40B4-BE49-F238E27FC236}">
                <a16:creationId xmlns:a16="http://schemas.microsoft.com/office/drawing/2014/main" id="{B1828F16-B9C4-B421-478C-5FF63186AB30}"/>
              </a:ext>
            </a:extLst>
          </xdr:cNvPr>
          <xdr:cNvSpPr/>
        </xdr:nvSpPr>
        <xdr:spPr>
          <a:xfrm>
            <a:off x="10010775" y="1733550"/>
            <a:ext cx="333375" cy="295275"/>
          </a:xfrm>
          <a:prstGeom prst="star5">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217715</xdr:colOff>
      <xdr:row>2</xdr:row>
      <xdr:rowOff>68036</xdr:rowOff>
    </xdr:from>
    <xdr:to>
      <xdr:col>20</xdr:col>
      <xdr:colOff>598714</xdr:colOff>
      <xdr:row>6</xdr:row>
      <xdr:rowOff>13607</xdr:rowOff>
    </xdr:to>
    <xdr:grpSp>
      <xdr:nvGrpSpPr>
        <xdr:cNvPr id="61" name="Group 60">
          <a:extLst>
            <a:ext uri="{FF2B5EF4-FFF2-40B4-BE49-F238E27FC236}">
              <a16:creationId xmlns:a16="http://schemas.microsoft.com/office/drawing/2014/main" id="{5E29954E-D526-8CAB-863D-765649873A9E}"/>
            </a:ext>
          </a:extLst>
        </xdr:cNvPr>
        <xdr:cNvGrpSpPr/>
      </xdr:nvGrpSpPr>
      <xdr:grpSpPr>
        <a:xfrm>
          <a:off x="12584340" y="449036"/>
          <a:ext cx="1031874" cy="707571"/>
          <a:chOff x="5551714" y="2340430"/>
          <a:chExt cx="2435678" cy="2884713"/>
        </a:xfrm>
      </xdr:grpSpPr>
      <xdr:graphicFrame macro="">
        <xdr:nvGraphicFramePr>
          <xdr:cNvPr id="48" name="Chart 47">
            <a:extLst>
              <a:ext uri="{FF2B5EF4-FFF2-40B4-BE49-F238E27FC236}">
                <a16:creationId xmlns:a16="http://schemas.microsoft.com/office/drawing/2014/main" id="{F41BD34A-969C-4F13-B74F-1180DAF42848}"/>
              </a:ext>
            </a:extLst>
          </xdr:cNvPr>
          <xdr:cNvGraphicFramePr>
            <a:graphicFrameLocks/>
          </xdr:cNvGraphicFramePr>
        </xdr:nvGraphicFramePr>
        <xdr:xfrm>
          <a:off x="5551714" y="2340430"/>
          <a:ext cx="2435678" cy="2884713"/>
        </xdr:xfrm>
        <a:graphic>
          <a:graphicData uri="http://schemas.openxmlformats.org/drawingml/2006/chart">
            <c:chart xmlns:c="http://schemas.openxmlformats.org/drawingml/2006/chart" xmlns:r="http://schemas.openxmlformats.org/officeDocument/2006/relationships" r:id="rId9"/>
          </a:graphicData>
        </a:graphic>
      </xdr:graphicFrame>
      <xdr:sp macro="" textlink="KPI!$B$17">
        <xdr:nvSpPr>
          <xdr:cNvPr id="60" name="TextBox 59">
            <a:extLst>
              <a:ext uri="{FF2B5EF4-FFF2-40B4-BE49-F238E27FC236}">
                <a16:creationId xmlns:a16="http://schemas.microsoft.com/office/drawing/2014/main" id="{83E8D958-4E96-10E2-E471-75CA890B6EB4}"/>
              </a:ext>
            </a:extLst>
          </xdr:cNvPr>
          <xdr:cNvSpPr txBox="1"/>
        </xdr:nvSpPr>
        <xdr:spPr>
          <a:xfrm>
            <a:off x="6199503" y="3302000"/>
            <a:ext cx="1114190" cy="761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66FE92-4581-4E40-886C-DB4690F3918A}" type="TxLink">
              <a:rPr lang="en-US" sz="1000" b="1" i="0" u="none" strike="noStrike">
                <a:solidFill>
                  <a:schemeClr val="tx1"/>
                </a:solidFill>
                <a:latin typeface="Segoe UI Black" panose="020B0A02040204020203" pitchFamily="34" charset="0"/>
                <a:ea typeface="Segoe UI Black" panose="020B0A02040204020203" pitchFamily="34" charset="0"/>
                <a:cs typeface="Calibri"/>
              </a:rPr>
              <a:pPr algn="ctr"/>
              <a:t>3.21</a:t>
            </a:fld>
            <a:endParaRPr lang="en-IN" sz="1000" b="1">
              <a:solidFill>
                <a:schemeClr val="tx1"/>
              </a:solidFill>
              <a:latin typeface="Segoe UI Black" panose="020B0A02040204020203" pitchFamily="34" charset="0"/>
              <a:ea typeface="Segoe UI Black" panose="020B0A02040204020203" pitchFamily="34" charset="0"/>
            </a:endParaRPr>
          </a:p>
        </xdr:txBody>
      </xdr:sp>
    </xdr:grpSp>
    <xdr:clientData/>
  </xdr:twoCellAnchor>
  <xdr:twoCellAnchor>
    <xdr:from>
      <xdr:col>2</xdr:col>
      <xdr:colOff>201384</xdr:colOff>
      <xdr:row>17</xdr:row>
      <xdr:rowOff>0</xdr:rowOff>
    </xdr:from>
    <xdr:to>
      <xdr:col>5</xdr:col>
      <xdr:colOff>13607</xdr:colOff>
      <xdr:row>25</xdr:row>
      <xdr:rowOff>163284</xdr:rowOff>
    </xdr:to>
    <xdr:graphicFrame macro="">
      <xdr:nvGraphicFramePr>
        <xdr:cNvPr id="62" name="Chart 61">
          <a:extLst>
            <a:ext uri="{FF2B5EF4-FFF2-40B4-BE49-F238E27FC236}">
              <a16:creationId xmlns:a16="http://schemas.microsoft.com/office/drawing/2014/main" id="{ABA431F9-4B75-4F44-B15F-6EAFADD62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541561</xdr:colOff>
      <xdr:row>17</xdr:row>
      <xdr:rowOff>14964</xdr:rowOff>
    </xdr:from>
    <xdr:to>
      <xdr:col>8</xdr:col>
      <xdr:colOff>299355</xdr:colOff>
      <xdr:row>25</xdr:row>
      <xdr:rowOff>176893</xdr:rowOff>
    </xdr:to>
    <xdr:graphicFrame macro="">
      <xdr:nvGraphicFramePr>
        <xdr:cNvPr id="64" name="Chart 63">
          <a:extLst>
            <a:ext uri="{FF2B5EF4-FFF2-40B4-BE49-F238E27FC236}">
              <a16:creationId xmlns:a16="http://schemas.microsoft.com/office/drawing/2014/main" id="{CC7485A6-8349-479F-BE17-A46987B72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262616</xdr:colOff>
      <xdr:row>19</xdr:row>
      <xdr:rowOff>163290</xdr:rowOff>
    </xdr:from>
    <xdr:to>
      <xdr:col>6</xdr:col>
      <xdr:colOff>194576</xdr:colOff>
      <xdr:row>23</xdr:row>
      <xdr:rowOff>108857</xdr:rowOff>
    </xdr:to>
    <xdr:pic>
      <xdr:nvPicPr>
        <xdr:cNvPr id="49" name="Graphic 48" descr="Male profile with solid fill">
          <a:extLst>
            <a:ext uri="{FF2B5EF4-FFF2-40B4-BE49-F238E27FC236}">
              <a16:creationId xmlns:a16="http://schemas.microsoft.com/office/drawing/2014/main" id="{6C59F1ED-BB02-75D3-B97A-DC26E0572E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28330" y="3782790"/>
          <a:ext cx="585103" cy="707567"/>
        </a:xfrm>
        <a:prstGeom prst="rect">
          <a:avLst/>
        </a:prstGeom>
      </xdr:spPr>
    </xdr:pic>
    <xdr:clientData/>
  </xdr:twoCellAnchor>
  <xdr:twoCellAnchor editAs="oneCell">
    <xdr:from>
      <xdr:col>4</xdr:col>
      <xdr:colOff>326891</xdr:colOff>
      <xdr:row>19</xdr:row>
      <xdr:rowOff>150003</xdr:rowOff>
    </xdr:from>
    <xdr:to>
      <xdr:col>5</xdr:col>
      <xdr:colOff>272150</xdr:colOff>
      <xdr:row>23</xdr:row>
      <xdr:rowOff>81643</xdr:rowOff>
    </xdr:to>
    <xdr:pic>
      <xdr:nvPicPr>
        <xdr:cNvPr id="51" name="Graphic 50" descr="Office worker female with solid fill">
          <a:extLst>
            <a:ext uri="{FF2B5EF4-FFF2-40B4-BE49-F238E27FC236}">
              <a16:creationId xmlns:a16="http://schemas.microsoft.com/office/drawing/2014/main" id="{637765FA-39BC-2619-2CE5-A87C834AF2A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39462" y="3769503"/>
          <a:ext cx="598402" cy="693640"/>
        </a:xfrm>
        <a:prstGeom prst="rect">
          <a:avLst/>
        </a:prstGeom>
      </xdr:spPr>
    </xdr:pic>
    <xdr:clientData/>
  </xdr:twoCellAnchor>
  <xdr:twoCellAnchor>
    <xdr:from>
      <xdr:col>8</xdr:col>
      <xdr:colOff>609587</xdr:colOff>
      <xdr:row>14</xdr:row>
      <xdr:rowOff>149679</xdr:rowOff>
    </xdr:from>
    <xdr:to>
      <xdr:col>16</xdr:col>
      <xdr:colOff>312964</xdr:colOff>
      <xdr:row>26</xdr:row>
      <xdr:rowOff>0</xdr:rowOff>
    </xdr:to>
    <xdr:graphicFrame macro="">
      <xdr:nvGraphicFramePr>
        <xdr:cNvPr id="63" name="Chart 62">
          <a:extLst>
            <a:ext uri="{FF2B5EF4-FFF2-40B4-BE49-F238E27FC236}">
              <a16:creationId xmlns:a16="http://schemas.microsoft.com/office/drawing/2014/main" id="{D831B72B-CA00-4AA7-9748-5AA0CE914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146927</xdr:colOff>
      <xdr:row>14</xdr:row>
      <xdr:rowOff>149679</xdr:rowOff>
    </xdr:from>
    <xdr:to>
      <xdr:col>24</xdr:col>
      <xdr:colOff>462642</xdr:colOff>
      <xdr:row>25</xdr:row>
      <xdr:rowOff>163286</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7F8494A9-1E88-4205-A790-26B0A3F10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250356" y="2816679"/>
              <a:ext cx="4887715" cy="21091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136075</xdr:colOff>
      <xdr:row>12</xdr:row>
      <xdr:rowOff>163286</xdr:rowOff>
    </xdr:from>
    <xdr:to>
      <xdr:col>6</xdr:col>
      <xdr:colOff>13611</xdr:colOff>
      <xdr:row>14</xdr:row>
      <xdr:rowOff>40821</xdr:rowOff>
    </xdr:to>
    <xdr:sp macro="" textlink="">
      <xdr:nvSpPr>
        <xdr:cNvPr id="66" name="TextBox 65">
          <a:extLst>
            <a:ext uri="{FF2B5EF4-FFF2-40B4-BE49-F238E27FC236}">
              <a16:creationId xmlns:a16="http://schemas.microsoft.com/office/drawing/2014/main" id="{A25BB462-7707-F452-1A21-9921084D3FC3}"/>
            </a:ext>
          </a:extLst>
        </xdr:cNvPr>
        <xdr:cNvSpPr txBox="1"/>
      </xdr:nvSpPr>
      <xdr:spPr>
        <a:xfrm>
          <a:off x="1442361" y="2449286"/>
          <a:ext cx="2490107"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Total Employee by gender</a:t>
          </a:r>
        </a:p>
      </xdr:txBody>
    </xdr:sp>
    <xdr:clientData/>
  </xdr:twoCellAnchor>
  <xdr:twoCellAnchor>
    <xdr:from>
      <xdr:col>8</xdr:col>
      <xdr:colOff>636803</xdr:colOff>
      <xdr:row>12</xdr:row>
      <xdr:rowOff>164645</xdr:rowOff>
    </xdr:from>
    <xdr:to>
      <xdr:col>12</xdr:col>
      <xdr:colOff>514339</xdr:colOff>
      <xdr:row>14</xdr:row>
      <xdr:rowOff>42180</xdr:rowOff>
    </xdr:to>
    <xdr:sp macro="" textlink="">
      <xdr:nvSpPr>
        <xdr:cNvPr id="67" name="TextBox 66">
          <a:extLst>
            <a:ext uri="{FF2B5EF4-FFF2-40B4-BE49-F238E27FC236}">
              <a16:creationId xmlns:a16="http://schemas.microsoft.com/office/drawing/2014/main" id="{A6F0D831-5283-4FA2-8629-BD1CC9F23740}"/>
            </a:ext>
          </a:extLst>
        </xdr:cNvPr>
        <xdr:cNvSpPr txBox="1"/>
      </xdr:nvSpPr>
      <xdr:spPr>
        <a:xfrm>
          <a:off x="5861946" y="2450645"/>
          <a:ext cx="2490107"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Education wise Attrition</a:t>
          </a:r>
        </a:p>
      </xdr:txBody>
    </xdr:sp>
    <xdr:clientData/>
  </xdr:twoCellAnchor>
  <xdr:twoCellAnchor>
    <xdr:from>
      <xdr:col>17</xdr:col>
      <xdr:colOff>160534</xdr:colOff>
      <xdr:row>12</xdr:row>
      <xdr:rowOff>151033</xdr:rowOff>
    </xdr:from>
    <xdr:to>
      <xdr:col>21</xdr:col>
      <xdr:colOff>38070</xdr:colOff>
      <xdr:row>14</xdr:row>
      <xdr:rowOff>28568</xdr:rowOff>
    </xdr:to>
    <xdr:sp macro="" textlink="">
      <xdr:nvSpPr>
        <xdr:cNvPr id="68" name="TextBox 67">
          <a:extLst>
            <a:ext uri="{FF2B5EF4-FFF2-40B4-BE49-F238E27FC236}">
              <a16:creationId xmlns:a16="http://schemas.microsoft.com/office/drawing/2014/main" id="{F4017E1B-62BF-4A6E-A4FF-7051EB2E740E}"/>
            </a:ext>
          </a:extLst>
        </xdr:cNvPr>
        <xdr:cNvSpPr txBox="1"/>
      </xdr:nvSpPr>
      <xdr:spPr>
        <a:xfrm>
          <a:off x="11263963" y="2437033"/>
          <a:ext cx="2490107"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Attrition</a:t>
          </a:r>
          <a:r>
            <a:rPr lang="en-IN" sz="1400" b="1" baseline="0">
              <a:solidFill>
                <a:schemeClr val="accent2">
                  <a:lumMod val="50000"/>
                </a:schemeClr>
              </a:solidFill>
            </a:rPr>
            <a:t> by Job role</a:t>
          </a:r>
          <a:endParaRPr lang="en-IN" sz="1400" b="1">
            <a:solidFill>
              <a:schemeClr val="accent2">
                <a:lumMod val="50000"/>
              </a:schemeClr>
            </a:solidFill>
          </a:endParaRPr>
        </a:p>
      </xdr:txBody>
    </xdr:sp>
    <xdr:clientData/>
  </xdr:twoCellAnchor>
  <xdr:twoCellAnchor>
    <xdr:from>
      <xdr:col>2</xdr:col>
      <xdr:colOff>201383</xdr:colOff>
      <xdr:row>29</xdr:row>
      <xdr:rowOff>13607</xdr:rowOff>
    </xdr:from>
    <xdr:to>
      <xdr:col>8</xdr:col>
      <xdr:colOff>312963</xdr:colOff>
      <xdr:row>40</xdr:row>
      <xdr:rowOff>95250</xdr:rowOff>
    </xdr:to>
    <xdr:graphicFrame macro="">
      <xdr:nvGraphicFramePr>
        <xdr:cNvPr id="69" name="Chart 68">
          <a:extLst>
            <a:ext uri="{FF2B5EF4-FFF2-40B4-BE49-F238E27FC236}">
              <a16:creationId xmlns:a16="http://schemas.microsoft.com/office/drawing/2014/main" id="{939CE3C8-E5A4-4A30-9E20-0E5B3FFEB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187775</xdr:colOff>
      <xdr:row>27</xdr:row>
      <xdr:rowOff>42172</xdr:rowOff>
    </xdr:from>
    <xdr:to>
      <xdr:col>6</xdr:col>
      <xdr:colOff>65311</xdr:colOff>
      <xdr:row>28</xdr:row>
      <xdr:rowOff>110207</xdr:rowOff>
    </xdr:to>
    <xdr:sp macro="" textlink="">
      <xdr:nvSpPr>
        <xdr:cNvPr id="71" name="TextBox 70">
          <a:extLst>
            <a:ext uri="{FF2B5EF4-FFF2-40B4-BE49-F238E27FC236}">
              <a16:creationId xmlns:a16="http://schemas.microsoft.com/office/drawing/2014/main" id="{194DEDB2-8E96-4FD9-B819-84B36858D74E}"/>
            </a:ext>
          </a:extLst>
        </xdr:cNvPr>
        <xdr:cNvSpPr txBox="1"/>
      </xdr:nvSpPr>
      <xdr:spPr>
        <a:xfrm>
          <a:off x="1494061" y="5185672"/>
          <a:ext cx="2490107" cy="25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Department</a:t>
          </a:r>
          <a:r>
            <a:rPr lang="en-IN" sz="1400" b="1" baseline="0">
              <a:solidFill>
                <a:schemeClr val="accent2">
                  <a:lumMod val="50000"/>
                </a:schemeClr>
              </a:solidFill>
            </a:rPr>
            <a:t> wise attrition</a:t>
          </a:r>
          <a:endParaRPr lang="en-IN" sz="1400" b="1">
            <a:solidFill>
              <a:schemeClr val="accent2">
                <a:lumMod val="50000"/>
              </a:schemeClr>
            </a:solidFill>
          </a:endParaRPr>
        </a:p>
      </xdr:txBody>
    </xdr:sp>
    <xdr:clientData/>
  </xdr:twoCellAnchor>
  <xdr:twoCellAnchor>
    <xdr:from>
      <xdr:col>8</xdr:col>
      <xdr:colOff>541557</xdr:colOff>
      <xdr:row>29</xdr:row>
      <xdr:rowOff>40820</xdr:rowOff>
    </xdr:from>
    <xdr:to>
      <xdr:col>14</xdr:col>
      <xdr:colOff>353785</xdr:colOff>
      <xdr:row>40</xdr:row>
      <xdr:rowOff>54429</xdr:rowOff>
    </xdr:to>
    <xdr:graphicFrame macro="">
      <xdr:nvGraphicFramePr>
        <xdr:cNvPr id="73" name="Chart 72">
          <a:extLst>
            <a:ext uri="{FF2B5EF4-FFF2-40B4-BE49-F238E27FC236}">
              <a16:creationId xmlns:a16="http://schemas.microsoft.com/office/drawing/2014/main" id="{1710BC8B-2D22-4DB2-B412-8C6BF14F4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582376</xdr:colOff>
      <xdr:row>27</xdr:row>
      <xdr:rowOff>27214</xdr:rowOff>
    </xdr:from>
    <xdr:to>
      <xdr:col>12</xdr:col>
      <xdr:colOff>459912</xdr:colOff>
      <xdr:row>28</xdr:row>
      <xdr:rowOff>137424</xdr:rowOff>
    </xdr:to>
    <xdr:sp macro="" textlink="">
      <xdr:nvSpPr>
        <xdr:cNvPr id="74" name="TextBox 73">
          <a:extLst>
            <a:ext uri="{FF2B5EF4-FFF2-40B4-BE49-F238E27FC236}">
              <a16:creationId xmlns:a16="http://schemas.microsoft.com/office/drawing/2014/main" id="{D905F7E8-D28C-41EC-9F34-F3FB73080306}"/>
            </a:ext>
          </a:extLst>
        </xdr:cNvPr>
        <xdr:cNvSpPr txBox="1"/>
      </xdr:nvSpPr>
      <xdr:spPr>
        <a:xfrm>
          <a:off x="5807519" y="5170714"/>
          <a:ext cx="2490107" cy="300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Age</a:t>
          </a:r>
          <a:r>
            <a:rPr lang="en-IN" sz="1400" b="1" baseline="0">
              <a:solidFill>
                <a:schemeClr val="accent2">
                  <a:lumMod val="50000"/>
                </a:schemeClr>
              </a:solidFill>
            </a:rPr>
            <a:t> wise attrition</a:t>
          </a:r>
        </a:p>
        <a:p>
          <a:pPr algn="ctr"/>
          <a:endParaRPr lang="en-IN" sz="1400" b="1">
            <a:solidFill>
              <a:schemeClr val="accent2">
                <a:lumMod val="50000"/>
              </a:schemeClr>
            </a:solidFill>
          </a:endParaRPr>
        </a:p>
      </xdr:txBody>
    </xdr:sp>
    <xdr:clientData/>
  </xdr:twoCellAnchor>
  <xdr:twoCellAnchor>
    <xdr:from>
      <xdr:col>14</xdr:col>
      <xdr:colOff>650401</xdr:colOff>
      <xdr:row>29</xdr:row>
      <xdr:rowOff>122463</xdr:rowOff>
    </xdr:from>
    <xdr:to>
      <xdr:col>19</xdr:col>
      <xdr:colOff>312965</xdr:colOff>
      <xdr:row>40</xdr:row>
      <xdr:rowOff>40821</xdr:rowOff>
    </xdr:to>
    <mc:AlternateContent xmlns:mc="http://schemas.openxmlformats.org/markup-compatibility/2006">
      <mc:Choice xmlns:cx2="http://schemas.microsoft.com/office/drawing/2015/10/21/chartex" Requires="cx2">
        <xdr:graphicFrame macro="">
          <xdr:nvGraphicFramePr>
            <xdr:cNvPr id="75" name="Chart 74">
              <a:extLst>
                <a:ext uri="{FF2B5EF4-FFF2-40B4-BE49-F238E27FC236}">
                  <a16:creationId xmlns:a16="http://schemas.microsoft.com/office/drawing/2014/main" id="{F81597DE-E957-445B-B42E-0C6FAA45ED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794401" y="5646963"/>
              <a:ext cx="2928278" cy="2013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38079</xdr:colOff>
      <xdr:row>27</xdr:row>
      <xdr:rowOff>27213</xdr:rowOff>
    </xdr:from>
    <xdr:to>
      <xdr:col>18</xdr:col>
      <xdr:colOff>568758</xdr:colOff>
      <xdr:row>28</xdr:row>
      <xdr:rowOff>137423</xdr:rowOff>
    </xdr:to>
    <xdr:sp macro="" textlink="">
      <xdr:nvSpPr>
        <xdr:cNvPr id="79" name="TextBox 78">
          <a:extLst>
            <a:ext uri="{FF2B5EF4-FFF2-40B4-BE49-F238E27FC236}">
              <a16:creationId xmlns:a16="http://schemas.microsoft.com/office/drawing/2014/main" id="{2C63DB6E-A101-4521-9C7F-77CFDF6EBB0E}"/>
            </a:ext>
          </a:extLst>
        </xdr:cNvPr>
        <xdr:cNvSpPr txBox="1"/>
      </xdr:nvSpPr>
      <xdr:spPr>
        <a:xfrm>
          <a:off x="9835222" y="5170713"/>
          <a:ext cx="2490107" cy="300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Attrition</a:t>
          </a:r>
          <a:r>
            <a:rPr lang="en-IN" sz="1400" b="1" baseline="0">
              <a:solidFill>
                <a:schemeClr val="accent2">
                  <a:lumMod val="50000"/>
                </a:schemeClr>
              </a:solidFill>
            </a:rPr>
            <a:t> by marital status</a:t>
          </a:r>
        </a:p>
        <a:p>
          <a:pPr algn="ctr"/>
          <a:endParaRPr lang="en-IN" sz="1400" b="1">
            <a:solidFill>
              <a:schemeClr val="accent2">
                <a:lumMod val="50000"/>
              </a:schemeClr>
            </a:solidFill>
          </a:endParaRPr>
        </a:p>
      </xdr:txBody>
    </xdr:sp>
    <xdr:clientData/>
  </xdr:twoCellAnchor>
  <xdr:twoCellAnchor editAs="oneCell">
    <xdr:from>
      <xdr:col>20</xdr:col>
      <xdr:colOff>214992</xdr:colOff>
      <xdr:row>29</xdr:row>
      <xdr:rowOff>83003</xdr:rowOff>
    </xdr:from>
    <xdr:to>
      <xdr:col>22</xdr:col>
      <xdr:colOff>367393</xdr:colOff>
      <xdr:row>40</xdr:row>
      <xdr:rowOff>54429</xdr:rowOff>
    </xdr:to>
    <mc:AlternateContent xmlns:mc="http://schemas.openxmlformats.org/markup-compatibility/2006">
      <mc:Choice xmlns:a14="http://schemas.microsoft.com/office/drawing/2010/main" Requires="a14">
        <xdr:graphicFrame macro="">
          <xdr:nvGraphicFramePr>
            <xdr:cNvPr id="80" name="Education Field 2">
              <a:extLst>
                <a:ext uri="{FF2B5EF4-FFF2-40B4-BE49-F238E27FC236}">
                  <a16:creationId xmlns:a16="http://schemas.microsoft.com/office/drawing/2014/main" id="{D7DEC908-975C-4A8E-8C5A-B76FE0EEA58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232492" y="5607503"/>
              <a:ext cx="1454151" cy="20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419059</xdr:colOff>
      <xdr:row>29</xdr:row>
      <xdr:rowOff>96601</xdr:rowOff>
    </xdr:from>
    <xdr:to>
      <xdr:col>24</xdr:col>
      <xdr:colOff>489854</xdr:colOff>
      <xdr:row>40</xdr:row>
      <xdr:rowOff>54429</xdr:rowOff>
    </xdr:to>
    <mc:AlternateContent xmlns:mc="http://schemas.openxmlformats.org/markup-compatibility/2006">
      <mc:Choice xmlns:a14="http://schemas.microsoft.com/office/drawing/2010/main" Requires="a14">
        <xdr:graphicFrame macro="">
          <xdr:nvGraphicFramePr>
            <xdr:cNvPr id="108" name="Department">
              <a:extLst>
                <a:ext uri="{FF2B5EF4-FFF2-40B4-BE49-F238E27FC236}">
                  <a16:creationId xmlns:a16="http://schemas.microsoft.com/office/drawing/2014/main" id="{94DD448D-14A9-4E5E-978C-54941549488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738309" y="5621101"/>
              <a:ext cx="1372545" cy="2053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201357</xdr:colOff>
      <xdr:row>27</xdr:row>
      <xdr:rowOff>0</xdr:rowOff>
    </xdr:from>
    <xdr:to>
      <xdr:col>22</xdr:col>
      <xdr:colOff>217715</xdr:colOff>
      <xdr:row>28</xdr:row>
      <xdr:rowOff>108857</xdr:rowOff>
    </xdr:to>
    <xdr:sp macro="" textlink="">
      <xdr:nvSpPr>
        <xdr:cNvPr id="111" name="TextBox 110">
          <a:extLst>
            <a:ext uri="{FF2B5EF4-FFF2-40B4-BE49-F238E27FC236}">
              <a16:creationId xmlns:a16="http://schemas.microsoft.com/office/drawing/2014/main" id="{2F69EC28-AF8E-4EF0-BB18-6D50C462CF5D}"/>
            </a:ext>
          </a:extLst>
        </xdr:cNvPr>
        <xdr:cNvSpPr txBox="1"/>
      </xdr:nvSpPr>
      <xdr:spPr>
        <a:xfrm>
          <a:off x="13264214" y="5143500"/>
          <a:ext cx="132264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solidFill>
                <a:schemeClr val="accent2">
                  <a:lumMod val="50000"/>
                </a:schemeClr>
              </a:solidFill>
            </a:rPr>
            <a:t>Slicer</a:t>
          </a:r>
        </a:p>
        <a:p>
          <a:pPr algn="ctr"/>
          <a:endParaRPr lang="en-IN" sz="1400" b="1">
            <a:solidFill>
              <a:schemeClr val="accent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sh sharma" refreshedDate="45977.479797916669" createdVersion="8" refreshedVersion="8" minRefreshableVersion="3" recordCount="1470" xr:uid="{F0392C8C-7F39-4AD7-878B-7CF356C56626}">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34504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s v="Associates Degree"/>
    <n v="1"/>
    <n v="2"/>
    <n v="94"/>
    <n v="3"/>
    <n v="2"/>
    <n v="4"/>
    <n v="5993"/>
    <n v="19479"/>
    <n v="8"/>
    <n v="11"/>
    <n v="3"/>
    <n v="1"/>
    <n v="80"/>
    <n v="0"/>
    <n v="8"/>
    <n v="1"/>
    <n v="6"/>
    <n v="4"/>
    <n v="0"/>
    <n v="5"/>
  </r>
  <r>
    <x v="1"/>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x v="0"/>
    <s v="Travel_Rarely"/>
    <x v="0"/>
    <s v="Ex-Employees"/>
    <x v="1"/>
    <x v="1"/>
    <s v="STAFF-4"/>
    <n v="4"/>
    <x v="1"/>
    <x v="2"/>
    <x v="0"/>
    <s v="Yes"/>
    <s v="Y"/>
    <n v="3"/>
    <n v="-2"/>
    <n v="0"/>
    <n v="37"/>
    <n v="1"/>
    <n v="1"/>
    <n v="1"/>
    <n v="0"/>
    <n v="1373"/>
    <n v="2"/>
    <s v="Associates Degree"/>
    <n v="1"/>
    <n v="4"/>
    <n v="92"/>
    <n v="2"/>
    <n v="1"/>
    <n v="3"/>
    <n v="2090"/>
    <n v="2396"/>
    <n v="6"/>
    <n v="15"/>
    <n v="3"/>
    <n v="2"/>
    <n v="80"/>
    <n v="0"/>
    <n v="7"/>
    <n v="3"/>
    <n v="0"/>
    <n v="0"/>
    <n v="0"/>
    <n v="0"/>
  </r>
  <r>
    <x v="1"/>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x v="1"/>
    <s v="Travel_Rarely"/>
    <x v="2"/>
    <s v="Current Employees"/>
    <x v="1"/>
    <x v="2"/>
    <s v="STAFF-7"/>
    <n v="7"/>
    <x v="1"/>
    <x v="2"/>
    <x v="1"/>
    <s v="No"/>
    <s v="Y"/>
    <n v="3"/>
    <n v="-2"/>
    <n v="0"/>
    <n v="27"/>
    <n v="0"/>
    <m/>
    <n v="0"/>
    <n v="1"/>
    <n v="591"/>
    <n v="2"/>
    <s v="High School"/>
    <n v="1"/>
    <n v="1"/>
    <n v="40"/>
    <n v="3"/>
    <n v="1"/>
    <n v="2"/>
    <n v="3468"/>
    <n v="16632"/>
    <n v="9"/>
    <n v="12"/>
    <n v="3"/>
    <n v="4"/>
    <n v="80"/>
    <n v="1"/>
    <n v="6"/>
    <n v="3"/>
    <n v="2"/>
    <n v="2"/>
    <n v="2"/>
    <n v="2"/>
  </r>
  <r>
    <x v="1"/>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x v="1"/>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x v="1"/>
    <s v="Travel_Rarely"/>
    <x v="2"/>
    <s v="Current Employees"/>
    <x v="1"/>
    <x v="0"/>
    <s v="STAFF-11"/>
    <n v="11"/>
    <x v="1"/>
    <x v="2"/>
    <x v="2"/>
    <s v="No"/>
    <s v="Y"/>
    <n v="2"/>
    <n v="-2"/>
    <n v="0"/>
    <n v="30"/>
    <n v="0"/>
    <m/>
    <n v="0"/>
    <n v="1"/>
    <n v="1358"/>
    <n v="24"/>
    <s v="High School"/>
    <n v="1"/>
    <n v="4"/>
    <n v="67"/>
    <n v="3"/>
    <n v="1"/>
    <n v="2"/>
    <n v="2693"/>
    <n v="13335"/>
    <n v="1"/>
    <n v="22"/>
    <n v="4"/>
    <n v="2"/>
    <n v="80"/>
    <n v="1"/>
    <n v="1"/>
    <n v="3"/>
    <n v="1"/>
    <n v="0"/>
    <n v="0"/>
    <n v="0"/>
  </r>
  <r>
    <x v="1"/>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x v="1"/>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x v="1"/>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x v="1"/>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x v="1"/>
    <s v="Travel_Rarely"/>
    <x v="2"/>
    <s v="Current Employees"/>
    <x v="1"/>
    <x v="0"/>
    <s v="STAFF-16"/>
    <n v="16"/>
    <x v="1"/>
    <x v="1"/>
    <x v="2"/>
    <s v="No"/>
    <s v="Y"/>
    <n v="1"/>
    <n v="-2"/>
    <n v="0"/>
    <n v="31"/>
    <n v="0"/>
    <m/>
    <n v="0"/>
    <n v="1"/>
    <n v="670"/>
    <n v="26"/>
    <s v="High School"/>
    <n v="1"/>
    <n v="1"/>
    <n v="31"/>
    <n v="3"/>
    <n v="1"/>
    <n v="2"/>
    <n v="2911"/>
    <n v="15170"/>
    <n v="1"/>
    <n v="17"/>
    <n v="3"/>
    <n v="4"/>
    <n v="80"/>
    <n v="1"/>
    <n v="5"/>
    <n v="2"/>
    <n v="5"/>
    <n v="2"/>
    <n v="4"/>
    <n v="3"/>
  </r>
  <r>
    <x v="1"/>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x v="0"/>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x v="1"/>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x v="1"/>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x v="1"/>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x v="1"/>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x v="1"/>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x v="1"/>
    <s v="Non-Travel"/>
    <x v="4"/>
    <s v="Current Employees"/>
    <x v="1"/>
    <x v="1"/>
    <s v="STAFF-26"/>
    <n v="26"/>
    <x v="0"/>
    <x v="3"/>
    <x v="2"/>
    <s v="No"/>
    <s v="Y"/>
    <n v="5"/>
    <n v="-2"/>
    <n v="0"/>
    <n v="24"/>
    <n v="0"/>
    <m/>
    <n v="0"/>
    <n v="1"/>
    <n v="673"/>
    <n v="11"/>
    <s v="Associates Degree"/>
    <n v="1"/>
    <n v="1"/>
    <n v="96"/>
    <n v="4"/>
    <n v="2"/>
    <n v="3"/>
    <n v="4011"/>
    <n v="8232"/>
    <n v="0"/>
    <n v="18"/>
    <n v="3"/>
    <n v="4"/>
    <n v="80"/>
    <n v="1"/>
    <n v="5"/>
    <n v="2"/>
    <n v="4"/>
    <n v="2"/>
    <n v="1"/>
    <n v="3"/>
  </r>
  <r>
    <x v="0"/>
    <s v="Travel_Rarely"/>
    <x v="0"/>
    <s v="Ex-Employees"/>
    <x v="0"/>
    <x v="0"/>
    <s v="STAFF-27"/>
    <n v="27"/>
    <x v="1"/>
    <x v="6"/>
    <x v="0"/>
    <s v="No"/>
    <s v="Y"/>
    <n v="4"/>
    <n v="-2"/>
    <n v="0"/>
    <n v="36"/>
    <n v="1"/>
    <n v="1"/>
    <n v="1"/>
    <n v="0"/>
    <n v="1218"/>
    <n v="9"/>
    <s v="Master's Degree"/>
    <n v="1"/>
    <n v="3"/>
    <n v="82"/>
    <n v="2"/>
    <n v="1"/>
    <n v="2"/>
    <n v="3407"/>
    <n v="6986"/>
    <n v="7"/>
    <n v="23"/>
    <n v="4"/>
    <n v="2"/>
    <n v="80"/>
    <n v="0"/>
    <n v="10"/>
    <n v="3"/>
    <n v="5"/>
    <n v="3"/>
    <n v="0"/>
    <n v="3"/>
  </r>
  <r>
    <x v="1"/>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x v="1"/>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x v="0"/>
    <s v="Travel_Rarely"/>
    <x v="2"/>
    <s v="Ex-Employees"/>
    <x v="1"/>
    <x v="2"/>
    <s v="STAFF-31"/>
    <n v="31"/>
    <x v="1"/>
    <x v="1"/>
    <x v="0"/>
    <s v="No"/>
    <s v="Y"/>
    <n v="2"/>
    <n v="-2"/>
    <n v="0"/>
    <n v="34"/>
    <n v="1"/>
    <n v="1"/>
    <n v="1"/>
    <n v="0"/>
    <n v="699"/>
    <n v="6"/>
    <s v="High School"/>
    <n v="1"/>
    <n v="2"/>
    <n v="83"/>
    <n v="3"/>
    <n v="1"/>
    <n v="4"/>
    <n v="2960"/>
    <n v="17102"/>
    <n v="2"/>
    <n v="11"/>
    <n v="3"/>
    <n v="3"/>
    <n v="80"/>
    <n v="0"/>
    <n v="8"/>
    <n v="3"/>
    <n v="4"/>
    <n v="2"/>
    <n v="1"/>
    <n v="3"/>
  </r>
  <r>
    <x v="1"/>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x v="0"/>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x v="1"/>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x v="1"/>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x v="1"/>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x v="1"/>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x v="1"/>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x v="1"/>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x v="0"/>
    <s v="Travel_Rarely"/>
    <x v="0"/>
    <s v="Ex-Employees"/>
    <x v="0"/>
    <x v="4"/>
    <s v="STAFF-42"/>
    <n v="42"/>
    <x v="1"/>
    <x v="6"/>
    <x v="1"/>
    <s v="No"/>
    <s v="Y"/>
    <n v="6"/>
    <n v="-2"/>
    <n v="0"/>
    <n v="39"/>
    <n v="1"/>
    <n v="1"/>
    <n v="1"/>
    <n v="0"/>
    <n v="895"/>
    <n v="5"/>
    <s v="Bachelor's Degree"/>
    <n v="1"/>
    <n v="4"/>
    <n v="56"/>
    <n v="3"/>
    <n v="2"/>
    <n v="4"/>
    <n v="2086"/>
    <n v="3335"/>
    <n v="3"/>
    <n v="14"/>
    <n v="3"/>
    <n v="3"/>
    <n v="80"/>
    <n v="1"/>
    <n v="19"/>
    <n v="4"/>
    <n v="1"/>
    <n v="0"/>
    <n v="0"/>
    <n v="0"/>
  </r>
  <r>
    <x v="0"/>
    <s v="Travel_Rarely"/>
    <x v="4"/>
    <s v="Ex-Employees"/>
    <x v="1"/>
    <x v="2"/>
    <s v="STAFF-45"/>
    <n v="45"/>
    <x v="1"/>
    <x v="1"/>
    <x v="1"/>
    <s v="Yes"/>
    <s v="Y"/>
    <n v="2"/>
    <n v="-2"/>
    <n v="0"/>
    <n v="24"/>
    <n v="1"/>
    <n v="1"/>
    <n v="1"/>
    <n v="0"/>
    <n v="813"/>
    <n v="1"/>
    <s v="Bachelor's Degree"/>
    <n v="1"/>
    <n v="2"/>
    <n v="61"/>
    <n v="3"/>
    <n v="1"/>
    <n v="4"/>
    <n v="2293"/>
    <n v="3020"/>
    <n v="2"/>
    <n v="16"/>
    <n v="3"/>
    <n v="1"/>
    <n v="80"/>
    <n v="1"/>
    <n v="6"/>
    <n v="2"/>
    <n v="2"/>
    <n v="0"/>
    <n v="2"/>
    <n v="0"/>
  </r>
  <r>
    <x v="1"/>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x v="0"/>
    <s v="Travel_Rarely"/>
    <x v="1"/>
    <s v="Ex-Employees"/>
    <x v="0"/>
    <x v="3"/>
    <s v="STAFF-47"/>
    <n v="47"/>
    <x v="1"/>
    <x v="6"/>
    <x v="1"/>
    <s v="Yes"/>
    <s v="Y"/>
    <n v="2"/>
    <n v="-2"/>
    <n v="0"/>
    <n v="50"/>
    <n v="1"/>
    <n v="1"/>
    <n v="1"/>
    <n v="0"/>
    <n v="869"/>
    <n v="3"/>
    <s v="Associates Degree"/>
    <n v="1"/>
    <n v="1"/>
    <n v="86"/>
    <n v="2"/>
    <n v="1"/>
    <n v="3"/>
    <n v="2683"/>
    <n v="3810"/>
    <n v="1"/>
    <n v="14"/>
    <n v="3"/>
    <n v="3"/>
    <n v="80"/>
    <n v="0"/>
    <n v="3"/>
    <n v="3"/>
    <n v="3"/>
    <n v="2"/>
    <n v="0"/>
    <n v="2"/>
  </r>
  <r>
    <x v="1"/>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x v="1"/>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x v="1"/>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x v="1"/>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x v="1"/>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x v="0"/>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x v="1"/>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x v="1"/>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x v="0"/>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x v="1"/>
    <s v="Non-Travel"/>
    <x v="2"/>
    <s v="Current Employees"/>
    <x v="0"/>
    <x v="3"/>
    <s v="STAFF-60"/>
    <n v="60"/>
    <x v="1"/>
    <x v="0"/>
    <x v="0"/>
    <s v="No"/>
    <s v="Y"/>
    <n v="2"/>
    <n v="-2"/>
    <n v="0"/>
    <n v="34"/>
    <n v="0"/>
    <m/>
    <n v="0"/>
    <n v="1"/>
    <n v="1065"/>
    <n v="23"/>
    <s v="Master's Degree"/>
    <n v="1"/>
    <n v="2"/>
    <n v="72"/>
    <n v="3"/>
    <n v="2"/>
    <n v="3"/>
    <n v="4568"/>
    <n v="10034"/>
    <n v="0"/>
    <n v="20"/>
    <n v="4"/>
    <n v="3"/>
    <n v="80"/>
    <n v="0"/>
    <n v="10"/>
    <n v="3"/>
    <n v="9"/>
    <n v="5"/>
    <n v="8"/>
    <n v="7"/>
  </r>
  <r>
    <x v="1"/>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x v="1"/>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x v="1"/>
    <s v="Travel_Rarely"/>
    <x v="0"/>
    <s v="Current Employees"/>
    <x v="1"/>
    <x v="0"/>
    <s v="STAFF-63"/>
    <n v="63"/>
    <x v="1"/>
    <x v="2"/>
    <x v="1"/>
    <s v="No"/>
    <s v="Y"/>
    <n v="2"/>
    <n v="-2"/>
    <n v="0"/>
    <n v="35"/>
    <n v="0"/>
    <m/>
    <n v="0"/>
    <n v="1"/>
    <n v="1229"/>
    <n v="8"/>
    <s v="High School"/>
    <n v="1"/>
    <n v="4"/>
    <n v="36"/>
    <n v="4"/>
    <n v="1"/>
    <n v="2"/>
    <n v="2269"/>
    <n v="4892"/>
    <n v="1"/>
    <n v="19"/>
    <n v="3"/>
    <n v="4"/>
    <n v="80"/>
    <n v="0"/>
    <n v="1"/>
    <n v="3"/>
    <n v="1"/>
    <n v="0"/>
    <n v="0"/>
    <n v="1"/>
  </r>
  <r>
    <x v="0"/>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x v="0"/>
    <s v="Travel_Rarely"/>
    <x v="2"/>
    <s v="Ex-Employees"/>
    <x v="1"/>
    <x v="4"/>
    <s v="STAFF-65"/>
    <n v="65"/>
    <x v="1"/>
    <x v="2"/>
    <x v="0"/>
    <s v="Yes"/>
    <s v="Y"/>
    <n v="3"/>
    <n v="-2"/>
    <n v="0"/>
    <n v="28"/>
    <n v="1"/>
    <n v="1"/>
    <n v="1"/>
    <n v="0"/>
    <n v="1434"/>
    <n v="5"/>
    <s v="Master's Degree"/>
    <n v="1"/>
    <n v="3"/>
    <n v="50"/>
    <n v="3"/>
    <n v="1"/>
    <n v="3"/>
    <n v="3441"/>
    <n v="11179"/>
    <n v="1"/>
    <n v="13"/>
    <n v="3"/>
    <n v="3"/>
    <n v="80"/>
    <n v="0"/>
    <n v="2"/>
    <n v="2"/>
    <n v="2"/>
    <n v="2"/>
    <n v="2"/>
    <n v="2"/>
  </r>
  <r>
    <x v="1"/>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x v="1"/>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x v="1"/>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x v="1"/>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x v="1"/>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x v="1"/>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x v="1"/>
    <s v="Travel_Rarely"/>
    <x v="2"/>
    <s v="Current Employees"/>
    <x v="1"/>
    <x v="0"/>
    <s v="STAFF-76"/>
    <n v="76"/>
    <x v="1"/>
    <x v="2"/>
    <x v="2"/>
    <s v="No"/>
    <s v="Y"/>
    <n v="3"/>
    <n v="-2"/>
    <n v="0"/>
    <n v="31"/>
    <n v="0"/>
    <m/>
    <n v="0"/>
    <n v="1"/>
    <n v="655"/>
    <n v="7"/>
    <s v="Master's Degree"/>
    <n v="1"/>
    <n v="4"/>
    <n v="48"/>
    <n v="3"/>
    <n v="2"/>
    <n v="2"/>
    <n v="5915"/>
    <n v="9528"/>
    <n v="3"/>
    <n v="22"/>
    <n v="4"/>
    <n v="4"/>
    <n v="80"/>
    <n v="1"/>
    <n v="10"/>
    <n v="2"/>
    <n v="7"/>
    <n v="7"/>
    <n v="1"/>
    <n v="7"/>
  </r>
  <r>
    <x v="1"/>
    <s v="Travel_Rarely"/>
    <x v="0"/>
    <s v="Current Employees"/>
    <x v="1"/>
    <x v="0"/>
    <s v="STAFF-77"/>
    <n v="77"/>
    <x v="1"/>
    <x v="3"/>
    <x v="2"/>
    <s v="No"/>
    <s v="Y"/>
    <n v="2"/>
    <n v="-2"/>
    <n v="0"/>
    <n v="37"/>
    <n v="0"/>
    <m/>
    <n v="0"/>
    <n v="1"/>
    <n v="1115"/>
    <n v="1"/>
    <s v="Master's Degree"/>
    <n v="1"/>
    <n v="1"/>
    <n v="51"/>
    <n v="2"/>
    <n v="2"/>
    <n v="2"/>
    <n v="5993"/>
    <n v="2689"/>
    <n v="1"/>
    <n v="18"/>
    <n v="3"/>
    <n v="3"/>
    <n v="80"/>
    <n v="1"/>
    <n v="7"/>
    <n v="4"/>
    <n v="7"/>
    <n v="5"/>
    <n v="0"/>
    <n v="7"/>
  </r>
  <r>
    <x v="1"/>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x v="1"/>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x v="1"/>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x v="1"/>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x v="1"/>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x v="1"/>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x v="1"/>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x v="1"/>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x v="1"/>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x v="0"/>
    <s v="Travel_Rarely"/>
    <x v="0"/>
    <s v="Ex-Employees"/>
    <x v="1"/>
    <x v="2"/>
    <s v="STAFF-90"/>
    <n v="90"/>
    <x v="1"/>
    <x v="1"/>
    <x v="1"/>
    <s v="Yes"/>
    <s v="Y"/>
    <n v="0"/>
    <n v="-2"/>
    <n v="0"/>
    <n v="36"/>
    <n v="1"/>
    <n v="1"/>
    <n v="1"/>
    <n v="0"/>
    <n v="318"/>
    <n v="9"/>
    <s v="Bachelor's Degree"/>
    <n v="1"/>
    <n v="4"/>
    <n v="79"/>
    <n v="2"/>
    <n v="1"/>
    <n v="3"/>
    <n v="3388"/>
    <n v="21777"/>
    <n v="0"/>
    <n v="17"/>
    <n v="3"/>
    <n v="1"/>
    <n v="80"/>
    <n v="1"/>
    <n v="2"/>
    <n v="2"/>
    <n v="1"/>
    <n v="0"/>
    <n v="0"/>
    <n v="0"/>
  </r>
  <r>
    <x v="1"/>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x v="1"/>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x v="1"/>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x v="1"/>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x v="1"/>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x v="1"/>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x v="1"/>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x v="1"/>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x v="1"/>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x v="1"/>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x v="1"/>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x v="1"/>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x v="1"/>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x v="1"/>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x v="1"/>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x v="1"/>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x v="1"/>
    <s v="Travel_Rarely"/>
    <x v="4"/>
    <s v="Current Employees"/>
    <x v="0"/>
    <x v="4"/>
    <s v="STAFF-113"/>
    <n v="113"/>
    <x v="1"/>
    <x v="6"/>
    <x v="2"/>
    <s v="No"/>
    <s v="Y"/>
    <n v="3"/>
    <n v="-2"/>
    <n v="0"/>
    <n v="23"/>
    <n v="0"/>
    <m/>
    <n v="0"/>
    <n v="1"/>
    <n v="541"/>
    <n v="2"/>
    <s v="High School"/>
    <n v="1"/>
    <n v="3"/>
    <n v="62"/>
    <n v="3"/>
    <n v="1"/>
    <n v="4"/>
    <n v="2322"/>
    <n v="9518"/>
    <n v="3"/>
    <n v="13"/>
    <n v="3"/>
    <n v="3"/>
    <n v="80"/>
    <n v="1"/>
    <n v="3"/>
    <n v="3"/>
    <n v="0"/>
    <n v="0"/>
    <n v="0"/>
    <n v="0"/>
  </r>
  <r>
    <x v="1"/>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x v="1"/>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x v="0"/>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x v="1"/>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x v="1"/>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x v="1"/>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x v="1"/>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x v="1"/>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x v="1"/>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x v="1"/>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x v="1"/>
    <s v="Non-Travel"/>
    <x v="2"/>
    <s v="Current Employees"/>
    <x v="0"/>
    <x v="2"/>
    <s v="STAFF-129"/>
    <n v="129"/>
    <x v="1"/>
    <x v="0"/>
    <x v="1"/>
    <s v="No"/>
    <s v="Y"/>
    <n v="3"/>
    <n v="-2"/>
    <n v="0"/>
    <n v="28"/>
    <n v="0"/>
    <m/>
    <n v="0"/>
    <n v="1"/>
    <n v="120"/>
    <n v="4"/>
    <s v="Bachelor's Degree"/>
    <n v="1"/>
    <n v="2"/>
    <n v="43"/>
    <n v="3"/>
    <n v="2"/>
    <n v="3"/>
    <n v="4221"/>
    <n v="8863"/>
    <n v="1"/>
    <n v="15"/>
    <n v="3"/>
    <n v="2"/>
    <n v="80"/>
    <n v="0"/>
    <n v="5"/>
    <n v="4"/>
    <n v="5"/>
    <n v="4"/>
    <n v="0"/>
    <n v="4"/>
  </r>
  <r>
    <x v="1"/>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x v="1"/>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x v="0"/>
    <s v="Travel_Rarely"/>
    <x v="0"/>
    <s v="Ex-Employees"/>
    <x v="2"/>
    <x v="5"/>
    <s v="STAFF-133"/>
    <n v="133"/>
    <x v="1"/>
    <x v="8"/>
    <x v="2"/>
    <s v="Yes"/>
    <s v="Y"/>
    <n v="3"/>
    <n v="-2"/>
    <n v="0"/>
    <n v="37"/>
    <n v="1"/>
    <n v="1"/>
    <n v="1"/>
    <n v="0"/>
    <n v="807"/>
    <n v="6"/>
    <s v="Master's Degree"/>
    <n v="1"/>
    <n v="3"/>
    <n v="63"/>
    <n v="3"/>
    <n v="1"/>
    <n v="4"/>
    <n v="2073"/>
    <n v="23648"/>
    <n v="4"/>
    <n v="22"/>
    <n v="4"/>
    <n v="4"/>
    <n v="80"/>
    <n v="0"/>
    <n v="7"/>
    <n v="3"/>
    <n v="3"/>
    <n v="2"/>
    <n v="0"/>
    <n v="2"/>
  </r>
  <r>
    <x v="1"/>
    <s v="Travel_Rarely"/>
    <x v="2"/>
    <s v="Current Employees"/>
    <x v="1"/>
    <x v="0"/>
    <s v="STAFF-134"/>
    <n v="134"/>
    <x v="1"/>
    <x v="1"/>
    <x v="0"/>
    <s v="No"/>
    <s v="Y"/>
    <n v="2"/>
    <n v="-2"/>
    <n v="0"/>
    <n v="32"/>
    <n v="0"/>
    <m/>
    <n v="0"/>
    <n v="1"/>
    <n v="827"/>
    <n v="1"/>
    <s v="High School"/>
    <n v="1"/>
    <n v="4"/>
    <n v="71"/>
    <n v="3"/>
    <n v="1"/>
    <n v="2"/>
    <n v="2956"/>
    <n v="15178"/>
    <n v="1"/>
    <n v="13"/>
    <n v="3"/>
    <n v="4"/>
    <n v="80"/>
    <n v="0"/>
    <n v="1"/>
    <n v="3"/>
    <n v="1"/>
    <n v="0"/>
    <n v="0"/>
    <n v="0"/>
  </r>
  <r>
    <x v="0"/>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x v="1"/>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x v="1"/>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x v="1"/>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x v="1"/>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x v="0"/>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x v="1"/>
    <s v="Travel_Rarely"/>
    <x v="2"/>
    <s v="Current Employees"/>
    <x v="1"/>
    <x v="2"/>
    <s v="STAFF-143"/>
    <n v="143"/>
    <x v="1"/>
    <x v="1"/>
    <x v="1"/>
    <s v="No"/>
    <s v="Y"/>
    <n v="2"/>
    <n v="-2"/>
    <n v="0"/>
    <n v="25"/>
    <n v="0"/>
    <m/>
    <n v="0"/>
    <n v="1"/>
    <n v="1280"/>
    <n v="7"/>
    <s v="High School"/>
    <n v="1"/>
    <n v="4"/>
    <n v="64"/>
    <n v="2"/>
    <n v="1"/>
    <n v="4"/>
    <n v="2889"/>
    <n v="26897"/>
    <n v="1"/>
    <n v="11"/>
    <n v="3"/>
    <n v="3"/>
    <n v="80"/>
    <n v="2"/>
    <n v="2"/>
    <n v="3"/>
    <n v="2"/>
    <n v="2"/>
    <n v="2"/>
    <n v="1"/>
  </r>
  <r>
    <x v="1"/>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x v="1"/>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x v="0"/>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x v="1"/>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x v="1"/>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x v="1"/>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x v="1"/>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x v="1"/>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x v="1"/>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x v="1"/>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x v="1"/>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x v="1"/>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x v="1"/>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x v="0"/>
    <s v="Travel_Rarely"/>
    <x v="3"/>
    <s v="Ex-Employees"/>
    <x v="1"/>
    <x v="0"/>
    <s v="STAFF-161"/>
    <n v="161"/>
    <x v="0"/>
    <x v="1"/>
    <x v="1"/>
    <s v="Yes"/>
    <s v="Y"/>
    <n v="2"/>
    <n v="-2"/>
    <n v="0"/>
    <n v="56"/>
    <n v="1"/>
    <n v="1"/>
    <n v="1"/>
    <n v="0"/>
    <n v="441"/>
    <n v="14"/>
    <s v="Master's Degree"/>
    <n v="1"/>
    <n v="2"/>
    <n v="72"/>
    <n v="3"/>
    <n v="1"/>
    <n v="2"/>
    <n v="4963"/>
    <n v="4510"/>
    <n v="9"/>
    <n v="18"/>
    <n v="3"/>
    <n v="1"/>
    <n v="80"/>
    <n v="3"/>
    <n v="7"/>
    <n v="3"/>
    <n v="5"/>
    <n v="4"/>
    <n v="4"/>
    <n v="3"/>
  </r>
  <r>
    <x v="1"/>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x v="0"/>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x v="1"/>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x v="0"/>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x v="0"/>
    <s v="Travel_Rarely"/>
    <x v="4"/>
    <s v="Ex-Employees"/>
    <x v="0"/>
    <x v="3"/>
    <s v="STAFF-167"/>
    <n v="167"/>
    <x v="1"/>
    <x v="6"/>
    <x v="0"/>
    <s v="Yes"/>
    <s v="Y"/>
    <n v="2"/>
    <n v="-2"/>
    <n v="0"/>
    <n v="19"/>
    <n v="1"/>
    <n v="1"/>
    <n v="1"/>
    <n v="0"/>
    <n v="528"/>
    <n v="22"/>
    <s v="High School"/>
    <n v="1"/>
    <n v="4"/>
    <n v="50"/>
    <n v="3"/>
    <n v="1"/>
    <n v="3"/>
    <n v="1675"/>
    <n v="26820"/>
    <n v="1"/>
    <n v="19"/>
    <n v="3"/>
    <n v="4"/>
    <n v="80"/>
    <n v="0"/>
    <n v="0"/>
    <n v="2"/>
    <n v="0"/>
    <n v="0"/>
    <n v="0"/>
    <n v="0"/>
  </r>
  <r>
    <x v="1"/>
    <s v="Travel_Rarely"/>
    <x v="4"/>
    <s v="Current Employees"/>
    <x v="1"/>
    <x v="4"/>
    <s v="STAFF-169"/>
    <n v="169"/>
    <x v="1"/>
    <x v="2"/>
    <x v="1"/>
    <s v="No"/>
    <s v="Y"/>
    <n v="2"/>
    <n v="-2"/>
    <n v="0"/>
    <n v="22"/>
    <n v="0"/>
    <m/>
    <n v="0"/>
    <n v="1"/>
    <n v="594"/>
    <n v="2"/>
    <s v="High School"/>
    <n v="1"/>
    <n v="3"/>
    <n v="100"/>
    <n v="3"/>
    <n v="1"/>
    <n v="4"/>
    <n v="2523"/>
    <n v="19299"/>
    <n v="0"/>
    <n v="14"/>
    <n v="3"/>
    <n v="3"/>
    <n v="80"/>
    <n v="1"/>
    <n v="3"/>
    <n v="3"/>
    <n v="2"/>
    <n v="1"/>
    <n v="2"/>
    <n v="1"/>
  </r>
  <r>
    <x v="1"/>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x v="1"/>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x v="1"/>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x v="0"/>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x v="1"/>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x v="1"/>
    <s v="Travel_Rarely"/>
    <x v="2"/>
    <s v="Current Employees"/>
    <x v="2"/>
    <x v="0"/>
    <s v="STAFF-177"/>
    <n v="177"/>
    <x v="0"/>
    <x v="8"/>
    <x v="1"/>
    <s v="No"/>
    <s v="Y"/>
    <n v="3"/>
    <n v="-2"/>
    <n v="0"/>
    <n v="26"/>
    <n v="0"/>
    <m/>
    <n v="0"/>
    <n v="1"/>
    <n v="1355"/>
    <n v="25"/>
    <s v="High School"/>
    <n v="1"/>
    <n v="3"/>
    <n v="61"/>
    <n v="3"/>
    <n v="1"/>
    <n v="2"/>
    <n v="2942"/>
    <n v="8916"/>
    <n v="1"/>
    <n v="23"/>
    <n v="4"/>
    <n v="4"/>
    <n v="80"/>
    <n v="1"/>
    <n v="8"/>
    <n v="3"/>
    <n v="8"/>
    <n v="7"/>
    <n v="5"/>
    <n v="7"/>
  </r>
  <r>
    <x v="1"/>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x v="0"/>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x v="1"/>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x v="1"/>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x v="1"/>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x v="0"/>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x v="1"/>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x v="1"/>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x v="1"/>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x v="1"/>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x v="1"/>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x v="1"/>
    <s v="Travel_Rarely"/>
    <x v="2"/>
    <s v="Current Employees"/>
    <x v="1"/>
    <x v="2"/>
    <s v="STAFF-198"/>
    <n v="198"/>
    <x v="1"/>
    <x v="2"/>
    <x v="0"/>
    <s v="No"/>
    <s v="Y"/>
    <n v="3"/>
    <n v="-2"/>
    <n v="0"/>
    <n v="30"/>
    <n v="0"/>
    <m/>
    <n v="0"/>
    <n v="1"/>
    <n v="1427"/>
    <n v="2"/>
    <s v="High School"/>
    <n v="1"/>
    <n v="2"/>
    <n v="35"/>
    <n v="2"/>
    <n v="1"/>
    <n v="4"/>
    <n v="2720"/>
    <n v="11162"/>
    <n v="0"/>
    <n v="13"/>
    <n v="3"/>
    <n v="4"/>
    <n v="80"/>
    <n v="0"/>
    <n v="6"/>
    <n v="3"/>
    <n v="5"/>
    <n v="3"/>
    <n v="1"/>
    <n v="2"/>
  </r>
  <r>
    <x v="1"/>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x v="1"/>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x v="1"/>
    <s v="Travel_Rarely"/>
    <x v="4"/>
    <s v="Current Employees"/>
    <x v="1"/>
    <x v="2"/>
    <s v="STAFF-201"/>
    <n v="201"/>
    <x v="0"/>
    <x v="2"/>
    <x v="0"/>
    <s v="No"/>
    <s v="Y"/>
    <n v="3"/>
    <n v="-2"/>
    <n v="0"/>
    <n v="19"/>
    <n v="0"/>
    <m/>
    <n v="0"/>
    <n v="1"/>
    <n v="1181"/>
    <n v="3"/>
    <s v="High School"/>
    <n v="1"/>
    <n v="2"/>
    <n v="79"/>
    <n v="3"/>
    <n v="1"/>
    <n v="3"/>
    <n v="1483"/>
    <n v="16102"/>
    <n v="1"/>
    <n v="14"/>
    <n v="3"/>
    <n v="4"/>
    <n v="80"/>
    <n v="0"/>
    <n v="1"/>
    <n v="3"/>
    <n v="1"/>
    <n v="0"/>
    <n v="0"/>
    <n v="0"/>
  </r>
  <r>
    <x v="1"/>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x v="1"/>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x v="1"/>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x v="1"/>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x v="1"/>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x v="1"/>
    <s v="Non-Travel"/>
    <x v="2"/>
    <s v="Current Employees"/>
    <x v="1"/>
    <x v="4"/>
    <s v="STAFF-208"/>
    <n v="208"/>
    <x v="1"/>
    <x v="3"/>
    <x v="1"/>
    <s v="No"/>
    <s v="Y"/>
    <n v="1"/>
    <n v="-2"/>
    <n v="0"/>
    <n v="29"/>
    <n v="0"/>
    <m/>
    <n v="0"/>
    <n v="1"/>
    <n v="1496"/>
    <n v="1"/>
    <s v="High School"/>
    <n v="1"/>
    <n v="4"/>
    <n v="41"/>
    <n v="3"/>
    <n v="2"/>
    <n v="4"/>
    <n v="4319"/>
    <n v="26283"/>
    <n v="1"/>
    <n v="13"/>
    <n v="3"/>
    <n v="1"/>
    <n v="80"/>
    <n v="1"/>
    <n v="10"/>
    <n v="3"/>
    <n v="10"/>
    <n v="7"/>
    <n v="0"/>
    <n v="9"/>
  </r>
  <r>
    <x v="1"/>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x v="1"/>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x v="1"/>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x v="1"/>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x v="1"/>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x v="1"/>
    <s v="Non-Travel"/>
    <x v="2"/>
    <s v="Current Employees"/>
    <x v="1"/>
    <x v="2"/>
    <s v="STAFF-218"/>
    <n v="218"/>
    <x v="1"/>
    <x v="1"/>
    <x v="2"/>
    <s v="No"/>
    <s v="Y"/>
    <n v="1"/>
    <n v="-2"/>
    <n v="0"/>
    <n v="27"/>
    <n v="0"/>
    <m/>
    <n v="0"/>
    <n v="1"/>
    <n v="691"/>
    <n v="9"/>
    <s v="Bachelor's Degree"/>
    <n v="1"/>
    <n v="4"/>
    <n v="57"/>
    <n v="3"/>
    <n v="1"/>
    <n v="3"/>
    <n v="2024"/>
    <n v="5970"/>
    <n v="6"/>
    <n v="18"/>
    <n v="3"/>
    <n v="4"/>
    <n v="80"/>
    <n v="1"/>
    <n v="6"/>
    <n v="1"/>
    <n v="2"/>
    <n v="2"/>
    <n v="2"/>
    <n v="2"/>
  </r>
  <r>
    <x v="1"/>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x v="1"/>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x v="1"/>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x v="1"/>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x v="1"/>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x v="1"/>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x v="1"/>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x v="1"/>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x v="1"/>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x v="0"/>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x v="1"/>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x v="1"/>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x v="1"/>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x v="1"/>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x v="1"/>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x v="0"/>
    <s v="Travel_Rarely"/>
    <x v="4"/>
    <s v="Ex-Employees"/>
    <x v="1"/>
    <x v="0"/>
    <s v="STAFF-243"/>
    <n v="243"/>
    <x v="1"/>
    <x v="2"/>
    <x v="0"/>
    <s v="No"/>
    <s v="Y"/>
    <n v="3"/>
    <n v="-2"/>
    <n v="0"/>
    <n v="19"/>
    <n v="1"/>
    <n v="1"/>
    <n v="1"/>
    <n v="0"/>
    <n v="303"/>
    <n v="2"/>
    <s v="Bachelor's Degree"/>
    <n v="1"/>
    <n v="2"/>
    <n v="47"/>
    <n v="2"/>
    <n v="1"/>
    <n v="2"/>
    <n v="1102"/>
    <n v="9241"/>
    <n v="1"/>
    <n v="22"/>
    <n v="4"/>
    <n v="3"/>
    <n v="80"/>
    <n v="0"/>
    <n v="1"/>
    <n v="2"/>
    <n v="1"/>
    <n v="0"/>
    <n v="1"/>
    <n v="0"/>
  </r>
  <r>
    <x v="1"/>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x v="1"/>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x v="1"/>
    <s v="Travel_Rarely"/>
    <x v="2"/>
    <s v="Current Employees"/>
    <x v="1"/>
    <x v="2"/>
    <s v="STAFF-246"/>
    <n v="246"/>
    <x v="0"/>
    <x v="1"/>
    <x v="1"/>
    <s v="Yes"/>
    <s v="Y"/>
    <n v="0"/>
    <n v="-2"/>
    <n v="0"/>
    <n v="31"/>
    <n v="0"/>
    <m/>
    <n v="0"/>
    <n v="1"/>
    <n v="140"/>
    <n v="12"/>
    <s v="High School"/>
    <n v="1"/>
    <n v="3"/>
    <n v="95"/>
    <n v="3"/>
    <n v="1"/>
    <n v="4"/>
    <n v="3929"/>
    <n v="6984"/>
    <n v="8"/>
    <n v="23"/>
    <n v="4"/>
    <n v="3"/>
    <n v="80"/>
    <n v="1"/>
    <n v="7"/>
    <n v="3"/>
    <n v="4"/>
    <n v="2"/>
    <n v="0"/>
    <n v="2"/>
  </r>
  <r>
    <x v="1"/>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x v="0"/>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x v="1"/>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x v="1"/>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x v="1"/>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x v="1"/>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x v="1"/>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x v="1"/>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x v="1"/>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x v="1"/>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x v="1"/>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x v="0"/>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x v="1"/>
    <s v="Non-Travel"/>
    <x v="0"/>
    <s v="Current Employees"/>
    <x v="1"/>
    <x v="2"/>
    <s v="STAFF-262"/>
    <n v="262"/>
    <x v="1"/>
    <x v="1"/>
    <x v="2"/>
    <s v="No"/>
    <s v="Y"/>
    <n v="3"/>
    <n v="-2"/>
    <n v="0"/>
    <n v="43"/>
    <n v="0"/>
    <m/>
    <n v="0"/>
    <n v="1"/>
    <n v="1344"/>
    <n v="7"/>
    <s v="Bachelor's Degree"/>
    <n v="1"/>
    <n v="4"/>
    <n v="37"/>
    <n v="4"/>
    <n v="1"/>
    <n v="4"/>
    <n v="2089"/>
    <n v="5228"/>
    <n v="4"/>
    <n v="14"/>
    <n v="3"/>
    <n v="4"/>
    <n v="80"/>
    <n v="3"/>
    <n v="7"/>
    <n v="4"/>
    <n v="5"/>
    <n v="4"/>
    <n v="2"/>
    <n v="2"/>
  </r>
  <r>
    <x v="1"/>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x v="1"/>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x v="1"/>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x v="1"/>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x v="1"/>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x v="1"/>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x v="1"/>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x v="1"/>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x v="1"/>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x v="1"/>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x v="0"/>
    <s v="Travel_Rarely"/>
    <x v="0"/>
    <s v="Ex-Employees"/>
    <x v="1"/>
    <x v="2"/>
    <s v="STAFF-282"/>
    <n v="282"/>
    <x v="1"/>
    <x v="4"/>
    <x v="1"/>
    <s v="Yes"/>
    <s v="Y"/>
    <n v="2"/>
    <n v="-2"/>
    <n v="0"/>
    <n v="38"/>
    <n v="1"/>
    <n v="1"/>
    <n v="1"/>
    <n v="0"/>
    <n v="1180"/>
    <n v="29"/>
    <s v="High School"/>
    <n v="1"/>
    <n v="2"/>
    <n v="70"/>
    <n v="3"/>
    <n v="2"/>
    <n v="3"/>
    <n v="6673"/>
    <n v="11354"/>
    <n v="7"/>
    <n v="19"/>
    <n v="3"/>
    <n v="2"/>
    <n v="80"/>
    <n v="0"/>
    <n v="17"/>
    <n v="3"/>
    <n v="1"/>
    <n v="0"/>
    <n v="0"/>
    <n v="0"/>
  </r>
  <r>
    <x v="0"/>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x v="1"/>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x v="1"/>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x v="1"/>
    <s v="Non-Travel"/>
    <x v="0"/>
    <s v="Current Employees"/>
    <x v="1"/>
    <x v="0"/>
    <s v="STAFF-287"/>
    <n v="287"/>
    <x v="1"/>
    <x v="4"/>
    <x v="1"/>
    <s v="No"/>
    <s v="Y"/>
    <n v="5"/>
    <n v="-2"/>
    <n v="0"/>
    <n v="40"/>
    <n v="0"/>
    <m/>
    <n v="0"/>
    <n v="1"/>
    <n v="1151"/>
    <n v="9"/>
    <s v="Doctoral Degree"/>
    <n v="1"/>
    <n v="4"/>
    <n v="63"/>
    <n v="2"/>
    <n v="2"/>
    <n v="2"/>
    <n v="4876"/>
    <n v="14242"/>
    <n v="9"/>
    <n v="14"/>
    <n v="3"/>
    <n v="4"/>
    <n v="80"/>
    <n v="1"/>
    <n v="5"/>
    <n v="1"/>
    <n v="3"/>
    <n v="2"/>
    <n v="0"/>
    <n v="2"/>
  </r>
  <r>
    <x v="1"/>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x v="0"/>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x v="1"/>
    <s v="Non-Travel"/>
    <x v="2"/>
    <s v="Current Employees"/>
    <x v="1"/>
    <x v="0"/>
    <s v="STAFF-292"/>
    <n v="292"/>
    <x v="1"/>
    <x v="3"/>
    <x v="0"/>
    <s v="No"/>
    <s v="Y"/>
    <n v="2"/>
    <n v="-2"/>
    <n v="0"/>
    <n v="30"/>
    <n v="0"/>
    <m/>
    <n v="0"/>
    <n v="1"/>
    <n v="829"/>
    <n v="1"/>
    <s v="High School"/>
    <n v="1"/>
    <n v="3"/>
    <n v="88"/>
    <n v="2"/>
    <n v="3"/>
    <n v="2"/>
    <n v="8474"/>
    <n v="20925"/>
    <n v="1"/>
    <n v="22"/>
    <n v="4"/>
    <n v="3"/>
    <n v="80"/>
    <n v="0"/>
    <n v="12"/>
    <n v="3"/>
    <n v="11"/>
    <n v="8"/>
    <n v="5"/>
    <n v="8"/>
  </r>
  <r>
    <x v="1"/>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x v="1"/>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x v="0"/>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x v="1"/>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x v="0"/>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x v="0"/>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x v="1"/>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x v="1"/>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x v="1"/>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x v="1"/>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x v="1"/>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x v="1"/>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x v="1"/>
    <s v="Non-Travel"/>
    <x v="2"/>
    <s v="Current Employees"/>
    <x v="1"/>
    <x v="2"/>
    <s v="STAFF-308"/>
    <n v="308"/>
    <x v="1"/>
    <x v="3"/>
    <x v="1"/>
    <s v="No"/>
    <s v="Y"/>
    <n v="2"/>
    <n v="-2"/>
    <n v="0"/>
    <n v="31"/>
    <n v="0"/>
    <m/>
    <n v="0"/>
    <n v="1"/>
    <n v="979"/>
    <n v="1"/>
    <s v="Master's Degree"/>
    <n v="1"/>
    <n v="3"/>
    <n v="90"/>
    <n v="1"/>
    <n v="2"/>
    <n v="3"/>
    <n v="4345"/>
    <n v="4381"/>
    <n v="0"/>
    <n v="12"/>
    <n v="3"/>
    <n v="4"/>
    <n v="80"/>
    <n v="1"/>
    <n v="6"/>
    <n v="3"/>
    <n v="5"/>
    <n v="4"/>
    <n v="1"/>
    <n v="4"/>
  </r>
  <r>
    <x v="1"/>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x v="1"/>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x v="1"/>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x v="1"/>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x v="0"/>
    <s v="Travel_Rarely"/>
    <x v="2"/>
    <s v="Ex-Employees"/>
    <x v="1"/>
    <x v="2"/>
    <s v="STAFF-315"/>
    <n v="315"/>
    <x v="1"/>
    <x v="1"/>
    <x v="0"/>
    <s v="Yes"/>
    <s v="Y"/>
    <n v="3"/>
    <n v="-2"/>
    <n v="0"/>
    <n v="29"/>
    <n v="1"/>
    <n v="1"/>
    <n v="1"/>
    <n v="0"/>
    <n v="896"/>
    <n v="18"/>
    <s v="High School"/>
    <n v="1"/>
    <n v="3"/>
    <n v="86"/>
    <n v="2"/>
    <n v="1"/>
    <n v="4"/>
    <n v="2389"/>
    <n v="14961"/>
    <n v="1"/>
    <n v="13"/>
    <n v="3"/>
    <n v="3"/>
    <n v="80"/>
    <n v="0"/>
    <n v="4"/>
    <n v="2"/>
    <n v="4"/>
    <n v="3"/>
    <n v="0"/>
    <n v="1"/>
  </r>
  <r>
    <x v="1"/>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x v="1"/>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x v="1"/>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x v="1"/>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x v="0"/>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x v="1"/>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x v="0"/>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x v="1"/>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x v="1"/>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x v="0"/>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x v="1"/>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x v="1"/>
    <s v="Non-Travel"/>
    <x v="2"/>
    <s v="Current Employees"/>
    <x v="0"/>
    <x v="3"/>
    <s v="STAFF-333"/>
    <n v="333"/>
    <x v="1"/>
    <x v="0"/>
    <x v="1"/>
    <s v="No"/>
    <s v="Y"/>
    <n v="2"/>
    <n v="-2"/>
    <n v="0"/>
    <n v="32"/>
    <n v="0"/>
    <m/>
    <n v="0"/>
    <n v="1"/>
    <n v="976"/>
    <n v="26"/>
    <s v="Master's Degree"/>
    <n v="1"/>
    <n v="3"/>
    <n v="100"/>
    <n v="3"/>
    <n v="2"/>
    <n v="1"/>
    <n v="4465"/>
    <n v="12069"/>
    <n v="0"/>
    <n v="18"/>
    <n v="3"/>
    <n v="1"/>
    <n v="80"/>
    <n v="0"/>
    <n v="4"/>
    <n v="3"/>
    <n v="3"/>
    <n v="2"/>
    <n v="2"/>
    <n v="2"/>
  </r>
  <r>
    <x v="1"/>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x v="1"/>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x v="1"/>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x v="1"/>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x v="1"/>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x v="1"/>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x v="1"/>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x v="1"/>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x v="0"/>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x v="1"/>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x v="1"/>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x v="1"/>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x v="1"/>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x v="1"/>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x v="1"/>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x v="1"/>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x v="1"/>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x v="0"/>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x v="1"/>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x v="1"/>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x v="1"/>
    <s v="Travel_Rarely"/>
    <x v="2"/>
    <s v="Current Employees"/>
    <x v="1"/>
    <x v="4"/>
    <s v="STAFF-362"/>
    <n v="362"/>
    <x v="1"/>
    <x v="2"/>
    <x v="0"/>
    <s v="No"/>
    <s v="Y"/>
    <n v="5"/>
    <n v="-2"/>
    <n v="0"/>
    <n v="32"/>
    <n v="0"/>
    <m/>
    <n v="0"/>
    <n v="1"/>
    <n v="128"/>
    <n v="2"/>
    <s v="High School"/>
    <n v="1"/>
    <n v="4"/>
    <n v="84"/>
    <n v="2"/>
    <n v="2"/>
    <n v="4"/>
    <n v="2176"/>
    <n v="19737"/>
    <n v="4"/>
    <n v="13"/>
    <n v="3"/>
    <n v="4"/>
    <n v="80"/>
    <n v="0"/>
    <n v="9"/>
    <n v="3"/>
    <n v="6"/>
    <n v="2"/>
    <n v="0"/>
    <n v="4"/>
  </r>
  <r>
    <x v="1"/>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x v="0"/>
    <s v="Travel_Rarely"/>
    <x v="2"/>
    <s v="Ex-Employees"/>
    <x v="1"/>
    <x v="0"/>
    <s v="STAFF-364"/>
    <n v="364"/>
    <x v="1"/>
    <x v="2"/>
    <x v="0"/>
    <s v="No"/>
    <s v="Y"/>
    <n v="5"/>
    <n v="-2"/>
    <n v="0"/>
    <n v="28"/>
    <n v="1"/>
    <n v="1"/>
    <n v="1"/>
    <n v="0"/>
    <n v="529"/>
    <n v="2"/>
    <s v="Master's Degree"/>
    <n v="1"/>
    <n v="1"/>
    <n v="79"/>
    <n v="3"/>
    <n v="1"/>
    <n v="2"/>
    <n v="3485"/>
    <n v="14935"/>
    <n v="2"/>
    <n v="11"/>
    <n v="3"/>
    <n v="3"/>
    <n v="80"/>
    <n v="0"/>
    <n v="5"/>
    <n v="1"/>
    <n v="0"/>
    <n v="0"/>
    <n v="0"/>
    <n v="0"/>
  </r>
  <r>
    <x v="1"/>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x v="1"/>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x v="1"/>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x v="1"/>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x v="1"/>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x v="1"/>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x v="0"/>
    <s v="Non-Travel"/>
    <x v="1"/>
    <s v="Ex-Employees"/>
    <x v="1"/>
    <x v="0"/>
    <s v="STAFF-376"/>
    <n v="376"/>
    <x v="1"/>
    <x v="5"/>
    <x v="1"/>
    <s v="Yes"/>
    <s v="Y"/>
    <n v="2"/>
    <n v="-2"/>
    <n v="0"/>
    <n v="47"/>
    <n v="1"/>
    <n v="1"/>
    <n v="1"/>
    <n v="0"/>
    <n v="666"/>
    <n v="29"/>
    <s v="Master's Degree"/>
    <n v="1"/>
    <n v="1"/>
    <n v="88"/>
    <n v="3"/>
    <n v="3"/>
    <n v="2"/>
    <n v="11849"/>
    <n v="10268"/>
    <n v="1"/>
    <n v="12"/>
    <n v="3"/>
    <n v="4"/>
    <n v="80"/>
    <n v="1"/>
    <n v="10"/>
    <n v="2"/>
    <n v="10"/>
    <n v="7"/>
    <n v="9"/>
    <n v="9"/>
  </r>
  <r>
    <x v="1"/>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x v="1"/>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x v="1"/>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x v="1"/>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x v="1"/>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x v="1"/>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x v="1"/>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x v="1"/>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x v="1"/>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x v="1"/>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x v="1"/>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x v="1"/>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x v="1"/>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x v="1"/>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x v="0"/>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x v="1"/>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x v="0"/>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x v="1"/>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x v="1"/>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x v="1"/>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x v="1"/>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x v="0"/>
    <s v="Travel_Rarely"/>
    <x v="2"/>
    <s v="Ex-Employees"/>
    <x v="0"/>
    <x v="3"/>
    <s v="STAFF-401"/>
    <n v="401"/>
    <x v="1"/>
    <x v="0"/>
    <x v="0"/>
    <s v="Yes"/>
    <s v="Y"/>
    <n v="0"/>
    <n v="-2"/>
    <n v="0"/>
    <n v="26"/>
    <n v="1"/>
    <n v="1"/>
    <n v="1"/>
    <n v="0"/>
    <n v="950"/>
    <n v="4"/>
    <s v="Master's Degree"/>
    <n v="1"/>
    <n v="4"/>
    <n v="48"/>
    <n v="2"/>
    <n v="2"/>
    <n v="1"/>
    <n v="5828"/>
    <n v="8450"/>
    <n v="1"/>
    <n v="12"/>
    <n v="3"/>
    <n v="2"/>
    <n v="80"/>
    <n v="0"/>
    <n v="8"/>
    <n v="3"/>
    <n v="8"/>
    <n v="7"/>
    <n v="7"/>
    <n v="4"/>
  </r>
  <r>
    <x v="1"/>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x v="1"/>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x v="0"/>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x v="1"/>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x v="1"/>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x v="1"/>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x v="1"/>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x v="1"/>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x v="1"/>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x v="1"/>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x v="1"/>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x v="1"/>
    <s v="Non-Travel"/>
    <x v="0"/>
    <s v="Current Employees"/>
    <x v="1"/>
    <x v="0"/>
    <s v="STAFF-419"/>
    <n v="419"/>
    <x v="0"/>
    <x v="2"/>
    <x v="1"/>
    <s v="No"/>
    <s v="Y"/>
    <n v="3"/>
    <n v="-2"/>
    <n v="0"/>
    <n v="36"/>
    <n v="0"/>
    <m/>
    <n v="0"/>
    <n v="1"/>
    <n v="1105"/>
    <n v="24"/>
    <s v="Master's Degree"/>
    <n v="1"/>
    <n v="2"/>
    <n v="47"/>
    <n v="3"/>
    <n v="2"/>
    <n v="2"/>
    <n v="5674"/>
    <n v="6927"/>
    <n v="7"/>
    <n v="15"/>
    <n v="3"/>
    <n v="3"/>
    <n v="80"/>
    <n v="1"/>
    <n v="11"/>
    <n v="3"/>
    <n v="9"/>
    <n v="8"/>
    <n v="0"/>
    <n v="8"/>
  </r>
  <r>
    <x v="1"/>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x v="1"/>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x v="1"/>
    <s v="Non-Travel"/>
    <x v="3"/>
    <s v="Current Employees"/>
    <x v="1"/>
    <x v="0"/>
    <s v="STAFF-422"/>
    <n v="422"/>
    <x v="1"/>
    <x v="4"/>
    <x v="2"/>
    <s v="Yes"/>
    <s v="Y"/>
    <n v="2"/>
    <n v="-2"/>
    <n v="0"/>
    <n v="58"/>
    <n v="0"/>
    <m/>
    <n v="0"/>
    <n v="1"/>
    <n v="390"/>
    <n v="1"/>
    <s v="Master's Degree"/>
    <n v="1"/>
    <n v="4"/>
    <n v="32"/>
    <n v="1"/>
    <n v="2"/>
    <n v="2"/>
    <n v="5660"/>
    <n v="17056"/>
    <n v="2"/>
    <n v="13"/>
    <n v="3"/>
    <n v="4"/>
    <n v="80"/>
    <n v="1"/>
    <n v="12"/>
    <n v="3"/>
    <n v="5"/>
    <n v="3"/>
    <n v="1"/>
    <n v="2"/>
  </r>
  <r>
    <x v="1"/>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x v="1"/>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x v="1"/>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x v="1"/>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x v="1"/>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x v="1"/>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x v="1"/>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x v="1"/>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x v="0"/>
    <s v="Travel_Rarely"/>
    <x v="1"/>
    <s v="Ex-Employees"/>
    <x v="1"/>
    <x v="2"/>
    <s v="STAFF-433"/>
    <n v="433"/>
    <x v="1"/>
    <x v="1"/>
    <x v="1"/>
    <s v="No"/>
    <s v="Y"/>
    <n v="3"/>
    <n v="-2"/>
    <n v="0"/>
    <n v="52"/>
    <n v="1"/>
    <n v="1"/>
    <n v="1"/>
    <n v="0"/>
    <n v="723"/>
    <n v="8"/>
    <s v="Master's Degree"/>
    <n v="1"/>
    <n v="3"/>
    <n v="85"/>
    <n v="2"/>
    <n v="2"/>
    <n v="3"/>
    <n v="4941"/>
    <n v="17747"/>
    <n v="2"/>
    <n v="15"/>
    <n v="3"/>
    <n v="1"/>
    <n v="80"/>
    <n v="0"/>
    <n v="11"/>
    <n v="2"/>
    <n v="8"/>
    <n v="2"/>
    <n v="7"/>
    <n v="7"/>
  </r>
  <r>
    <x v="1"/>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x v="1"/>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x v="1"/>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x v="1"/>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x v="1"/>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x v="0"/>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x v="1"/>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x v="1"/>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x v="1"/>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x v="0"/>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x v="1"/>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x v="1"/>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x v="1"/>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x v="1"/>
    <s v="Non-Travel"/>
    <x v="2"/>
    <s v="Current Employees"/>
    <x v="0"/>
    <x v="3"/>
    <s v="STAFF-449"/>
    <n v="449"/>
    <x v="1"/>
    <x v="0"/>
    <x v="1"/>
    <s v="Yes"/>
    <s v="Y"/>
    <n v="0"/>
    <n v="-2"/>
    <n v="0"/>
    <n v="27"/>
    <n v="0"/>
    <m/>
    <n v="0"/>
    <n v="1"/>
    <n v="210"/>
    <n v="1"/>
    <s v="High School"/>
    <n v="1"/>
    <n v="3"/>
    <n v="73"/>
    <n v="3"/>
    <n v="2"/>
    <n v="1"/>
    <n v="6349"/>
    <n v="22107"/>
    <n v="0"/>
    <n v="13"/>
    <n v="3"/>
    <n v="4"/>
    <n v="80"/>
    <n v="1"/>
    <n v="6"/>
    <n v="3"/>
    <n v="5"/>
    <n v="4"/>
    <n v="1"/>
    <n v="4"/>
  </r>
  <r>
    <x v="1"/>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x v="1"/>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x v="1"/>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x v="1"/>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x v="0"/>
    <s v="Travel_Rarely"/>
    <x v="2"/>
    <s v="Ex-Employees"/>
    <x v="1"/>
    <x v="1"/>
    <s v="STAFF-454"/>
    <n v="454"/>
    <x v="1"/>
    <x v="2"/>
    <x v="1"/>
    <s v="Yes"/>
    <s v="Y"/>
    <n v="4"/>
    <n v="-2"/>
    <n v="0"/>
    <n v="29"/>
    <n v="1"/>
    <n v="1"/>
    <n v="1"/>
    <n v="0"/>
    <n v="318"/>
    <n v="8"/>
    <s v="Master's Degree"/>
    <n v="1"/>
    <n v="2"/>
    <n v="77"/>
    <n v="1"/>
    <n v="1"/>
    <n v="3"/>
    <n v="2119"/>
    <n v="4759"/>
    <n v="1"/>
    <n v="11"/>
    <n v="3"/>
    <n v="4"/>
    <n v="80"/>
    <n v="0"/>
    <n v="7"/>
    <n v="2"/>
    <n v="7"/>
    <n v="7"/>
    <n v="0"/>
    <n v="7"/>
  </r>
  <r>
    <x v="1"/>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x v="1"/>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x v="1"/>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x v="1"/>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x v="1"/>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x v="1"/>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x v="1"/>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x v="1"/>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x v="1"/>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x v="1"/>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x v="1"/>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x v="1"/>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x v="1"/>
    <s v="Non-Travel"/>
    <x v="2"/>
    <s v="Current Employees"/>
    <x v="0"/>
    <x v="0"/>
    <s v="STAFF-469"/>
    <n v="469"/>
    <x v="1"/>
    <x v="0"/>
    <x v="1"/>
    <s v="No"/>
    <s v="Y"/>
    <n v="3"/>
    <n v="-2"/>
    <n v="0"/>
    <n v="29"/>
    <n v="0"/>
    <m/>
    <n v="0"/>
    <n v="1"/>
    <n v="746"/>
    <n v="2"/>
    <s v="Bachelor's Degree"/>
    <n v="1"/>
    <n v="4"/>
    <n v="61"/>
    <n v="3"/>
    <n v="2"/>
    <n v="2"/>
    <n v="4649"/>
    <n v="16928"/>
    <n v="1"/>
    <n v="14"/>
    <n v="3"/>
    <n v="1"/>
    <n v="80"/>
    <n v="1"/>
    <n v="4"/>
    <n v="2"/>
    <n v="4"/>
    <n v="3"/>
    <n v="0"/>
    <n v="2"/>
  </r>
  <r>
    <x v="1"/>
    <s v="Travel_Rarely"/>
    <x v="0"/>
    <s v="Current Employees"/>
    <x v="2"/>
    <x v="4"/>
    <s v="STAFF-470"/>
    <n v="470"/>
    <x v="1"/>
    <x v="8"/>
    <x v="2"/>
    <s v="Yes"/>
    <s v="Y"/>
    <n v="5"/>
    <n v="-2"/>
    <n v="0"/>
    <n v="42"/>
    <n v="0"/>
    <m/>
    <n v="0"/>
    <n v="1"/>
    <n v="544"/>
    <n v="2"/>
    <s v="High School"/>
    <n v="1"/>
    <n v="4"/>
    <n v="52"/>
    <n v="3"/>
    <n v="1"/>
    <n v="4"/>
    <n v="2696"/>
    <n v="24017"/>
    <n v="0"/>
    <n v="11"/>
    <n v="3"/>
    <n v="3"/>
    <n v="80"/>
    <n v="1"/>
    <n v="4"/>
    <n v="3"/>
    <n v="3"/>
    <n v="2"/>
    <n v="1"/>
    <n v="0"/>
  </r>
  <r>
    <x v="1"/>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x v="1"/>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x v="1"/>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x v="1"/>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x v="1"/>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x v="1"/>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x v="0"/>
    <s v="Travel_Frequently"/>
    <x v="4"/>
    <s v="Ex-Employees"/>
    <x v="0"/>
    <x v="4"/>
    <s v="STAFF-478"/>
    <n v="478"/>
    <x v="0"/>
    <x v="6"/>
    <x v="0"/>
    <s v="Yes"/>
    <s v="Y"/>
    <n v="3"/>
    <n v="-2"/>
    <n v="0"/>
    <n v="21"/>
    <n v="1"/>
    <n v="1"/>
    <n v="1"/>
    <n v="0"/>
    <n v="756"/>
    <n v="1"/>
    <s v="High School"/>
    <n v="1"/>
    <n v="4"/>
    <n v="99"/>
    <n v="2"/>
    <n v="1"/>
    <n v="4"/>
    <n v="2174"/>
    <n v="9150"/>
    <n v="1"/>
    <n v="11"/>
    <n v="3"/>
    <n v="3"/>
    <n v="80"/>
    <n v="0"/>
    <n v="3"/>
    <n v="3"/>
    <n v="3"/>
    <n v="2"/>
    <n v="1"/>
    <n v="2"/>
  </r>
  <r>
    <x v="1"/>
    <s v="Non-Travel"/>
    <x v="0"/>
    <s v="Current Employees"/>
    <x v="0"/>
    <x v="2"/>
    <s v="STAFF-479"/>
    <n v="479"/>
    <x v="0"/>
    <x v="0"/>
    <x v="0"/>
    <s v="No"/>
    <s v="Y"/>
    <n v="6"/>
    <n v="-2"/>
    <n v="0"/>
    <n v="36"/>
    <n v="0"/>
    <m/>
    <n v="0"/>
    <n v="1"/>
    <n v="845"/>
    <n v="1"/>
    <s v="Doctoral Degree"/>
    <n v="1"/>
    <n v="4"/>
    <n v="45"/>
    <n v="3"/>
    <n v="2"/>
    <n v="4"/>
    <n v="6653"/>
    <n v="15276"/>
    <n v="4"/>
    <n v="15"/>
    <n v="3"/>
    <n v="2"/>
    <n v="80"/>
    <n v="0"/>
    <n v="7"/>
    <n v="3"/>
    <n v="1"/>
    <n v="0"/>
    <n v="0"/>
    <n v="0"/>
  </r>
  <r>
    <x v="1"/>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x v="1"/>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x v="1"/>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x v="1"/>
    <s v="Non-Travel"/>
    <x v="4"/>
    <s v="Current Employees"/>
    <x v="0"/>
    <x v="2"/>
    <s v="STAFF-484"/>
    <n v="484"/>
    <x v="1"/>
    <x v="6"/>
    <x v="0"/>
    <s v="No"/>
    <s v="Y"/>
    <n v="3"/>
    <n v="-2"/>
    <n v="0"/>
    <n v="21"/>
    <n v="0"/>
    <m/>
    <n v="0"/>
    <n v="1"/>
    <n v="895"/>
    <n v="9"/>
    <s v="Associates Degree"/>
    <n v="1"/>
    <n v="1"/>
    <n v="39"/>
    <n v="3"/>
    <n v="1"/>
    <n v="4"/>
    <n v="2610"/>
    <n v="2851"/>
    <n v="1"/>
    <n v="24"/>
    <n v="4"/>
    <n v="3"/>
    <n v="80"/>
    <n v="0"/>
    <n v="3"/>
    <n v="2"/>
    <n v="3"/>
    <n v="2"/>
    <n v="2"/>
    <n v="2"/>
  </r>
  <r>
    <x v="0"/>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x v="1"/>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x v="1"/>
    <s v="Non-Travel"/>
    <x v="1"/>
    <s v="Current Employees"/>
    <x v="1"/>
    <x v="2"/>
    <s v="STAFF-487"/>
    <n v="487"/>
    <x v="0"/>
    <x v="3"/>
    <x v="1"/>
    <s v="No"/>
    <s v="Y"/>
    <n v="2"/>
    <n v="-2"/>
    <n v="0"/>
    <n v="46"/>
    <n v="0"/>
    <m/>
    <n v="0"/>
    <n v="1"/>
    <n v="1144"/>
    <n v="7"/>
    <s v="Master's Degree"/>
    <n v="1"/>
    <n v="3"/>
    <n v="30"/>
    <n v="3"/>
    <n v="2"/>
    <n v="3"/>
    <n v="5258"/>
    <n v="16044"/>
    <n v="2"/>
    <n v="14"/>
    <n v="3"/>
    <n v="3"/>
    <n v="80"/>
    <n v="0"/>
    <n v="7"/>
    <n v="4"/>
    <n v="1"/>
    <n v="0"/>
    <n v="0"/>
    <n v="0"/>
  </r>
  <r>
    <x v="0"/>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x v="1"/>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x v="0"/>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x v="1"/>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x v="0"/>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x v="1"/>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x v="1"/>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x v="1"/>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x v="1"/>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x v="1"/>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x v="1"/>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x v="1"/>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x v="0"/>
    <s v="Non-Travel"/>
    <x v="2"/>
    <s v="Ex-Employees"/>
    <x v="0"/>
    <x v="3"/>
    <s v="STAFF-502"/>
    <n v="502"/>
    <x v="1"/>
    <x v="0"/>
    <x v="0"/>
    <s v="Yes"/>
    <s v="Y"/>
    <n v="3"/>
    <n v="-2"/>
    <n v="0"/>
    <n v="34"/>
    <n v="1"/>
    <n v="1"/>
    <n v="1"/>
    <n v="0"/>
    <n v="1362"/>
    <n v="19"/>
    <s v="Bachelor's Degree"/>
    <n v="1"/>
    <n v="1"/>
    <n v="67"/>
    <n v="4"/>
    <n v="2"/>
    <n v="1"/>
    <n v="5304"/>
    <n v="4652"/>
    <n v="8"/>
    <n v="13"/>
    <n v="3"/>
    <n v="2"/>
    <n v="80"/>
    <n v="0"/>
    <n v="9"/>
    <n v="2"/>
    <n v="5"/>
    <n v="2"/>
    <n v="0"/>
    <n v="4"/>
  </r>
  <r>
    <x v="1"/>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x v="1"/>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x v="1"/>
    <s v="Travel_Rarely"/>
    <x v="2"/>
    <s v="Current Employees"/>
    <x v="0"/>
    <x v="4"/>
    <s v="STAFF-508"/>
    <n v="508"/>
    <x v="1"/>
    <x v="6"/>
    <x v="1"/>
    <s v="No"/>
    <s v="Y"/>
    <n v="3"/>
    <n v="-2"/>
    <n v="0"/>
    <n v="30"/>
    <n v="0"/>
    <m/>
    <n v="0"/>
    <n v="1"/>
    <n v="202"/>
    <n v="2"/>
    <s v="High School"/>
    <n v="1"/>
    <n v="4"/>
    <n v="72"/>
    <n v="3"/>
    <n v="1"/>
    <n v="4"/>
    <n v="2476"/>
    <n v="17434"/>
    <n v="1"/>
    <n v="18"/>
    <n v="3"/>
    <n v="1"/>
    <n v="80"/>
    <n v="1"/>
    <n v="1"/>
    <n v="3"/>
    <n v="1"/>
    <n v="0"/>
    <n v="0"/>
    <n v="0"/>
  </r>
  <r>
    <x v="0"/>
    <s v="Travel_Frequently"/>
    <x v="2"/>
    <s v="Ex-Employees"/>
    <x v="1"/>
    <x v="4"/>
    <s v="STAFF-510"/>
    <n v="510"/>
    <x v="1"/>
    <x v="1"/>
    <x v="0"/>
    <s v="No"/>
    <s v="Y"/>
    <n v="2"/>
    <n v="-2"/>
    <n v="0"/>
    <n v="26"/>
    <n v="1"/>
    <n v="1"/>
    <n v="1"/>
    <n v="0"/>
    <n v="575"/>
    <n v="3"/>
    <s v="High School"/>
    <n v="1"/>
    <n v="4"/>
    <n v="73"/>
    <n v="3"/>
    <n v="1"/>
    <n v="4"/>
    <n v="3102"/>
    <n v="6582"/>
    <n v="0"/>
    <n v="22"/>
    <n v="4"/>
    <n v="3"/>
    <n v="80"/>
    <n v="0"/>
    <n v="7"/>
    <n v="3"/>
    <n v="6"/>
    <n v="4"/>
    <n v="0"/>
    <n v="4"/>
  </r>
  <r>
    <x v="1"/>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x v="1"/>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x v="0"/>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x v="1"/>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x v="1"/>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x v="1"/>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x v="1"/>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x v="1"/>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x v="1"/>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x v="1"/>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x v="1"/>
    <s v="Non-Travel"/>
    <x v="2"/>
    <s v="Current Employees"/>
    <x v="0"/>
    <x v="3"/>
    <s v="STAFF-523"/>
    <n v="523"/>
    <x v="0"/>
    <x v="0"/>
    <x v="1"/>
    <s v="No"/>
    <s v="Y"/>
    <n v="3"/>
    <n v="-2"/>
    <n v="0"/>
    <n v="34"/>
    <n v="0"/>
    <m/>
    <n v="0"/>
    <n v="1"/>
    <n v="1381"/>
    <n v="4"/>
    <s v="Master's Degree"/>
    <n v="1"/>
    <n v="3"/>
    <n v="72"/>
    <n v="3"/>
    <n v="2"/>
    <n v="1"/>
    <n v="6538"/>
    <n v="12740"/>
    <n v="9"/>
    <n v="15"/>
    <n v="3"/>
    <n v="1"/>
    <n v="80"/>
    <n v="1"/>
    <n v="6"/>
    <n v="3"/>
    <n v="3"/>
    <n v="2"/>
    <n v="1"/>
    <n v="2"/>
  </r>
  <r>
    <x v="1"/>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x v="1"/>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x v="1"/>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x v="1"/>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x v="1"/>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x v="1"/>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x v="1"/>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x v="1"/>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x v="1"/>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x v="1"/>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x v="1"/>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x v="0"/>
    <s v="Travel_Rarely"/>
    <x v="2"/>
    <s v="Ex-Employees"/>
    <x v="1"/>
    <x v="2"/>
    <s v="STAFF-538"/>
    <n v="538"/>
    <x v="1"/>
    <x v="2"/>
    <x v="1"/>
    <s v="No"/>
    <s v="Y"/>
    <n v="5"/>
    <n v="-2"/>
    <n v="0"/>
    <n v="25"/>
    <n v="1"/>
    <n v="1"/>
    <n v="1"/>
    <n v="0"/>
    <n v="688"/>
    <n v="3"/>
    <s v="Bachelor's Degree"/>
    <n v="1"/>
    <n v="1"/>
    <n v="91"/>
    <n v="3"/>
    <n v="1"/>
    <n v="3"/>
    <n v="4031"/>
    <n v="9396"/>
    <n v="5"/>
    <n v="13"/>
    <n v="3"/>
    <n v="3"/>
    <n v="80"/>
    <n v="1"/>
    <n v="6"/>
    <n v="3"/>
    <n v="2"/>
    <n v="2"/>
    <n v="0"/>
    <n v="2"/>
  </r>
  <r>
    <x v="1"/>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x v="1"/>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x v="1"/>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x v="1"/>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x v="1"/>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x v="1"/>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x v="1"/>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x v="1"/>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x v="0"/>
    <s v="Travel_Rarely"/>
    <x v="4"/>
    <s v="Ex-Employees"/>
    <x v="0"/>
    <x v="4"/>
    <s v="STAFF-554"/>
    <n v="554"/>
    <x v="0"/>
    <x v="6"/>
    <x v="0"/>
    <s v="Yes"/>
    <s v="Y"/>
    <n v="4"/>
    <n v="-2"/>
    <n v="0"/>
    <n v="24"/>
    <n v="1"/>
    <n v="1"/>
    <n v="1"/>
    <n v="0"/>
    <n v="1448"/>
    <n v="1"/>
    <s v="High School"/>
    <n v="1"/>
    <n v="4"/>
    <n v="62"/>
    <n v="3"/>
    <n v="1"/>
    <n v="4"/>
    <n v="3202"/>
    <n v="21972"/>
    <n v="1"/>
    <n v="16"/>
    <n v="3"/>
    <n v="2"/>
    <n v="80"/>
    <n v="0"/>
    <n v="6"/>
    <n v="3"/>
    <n v="5"/>
    <n v="3"/>
    <n v="1"/>
    <n v="4"/>
  </r>
  <r>
    <x v="0"/>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x v="1"/>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x v="1"/>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x v="1"/>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x v="1"/>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x v="1"/>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x v="0"/>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x v="0"/>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x v="1"/>
    <s v="Non-Travel"/>
    <x v="2"/>
    <s v="Current Employees"/>
    <x v="0"/>
    <x v="1"/>
    <s v="STAFF-567"/>
    <n v="567"/>
    <x v="0"/>
    <x v="0"/>
    <x v="1"/>
    <s v="No"/>
    <s v="Y"/>
    <n v="3"/>
    <n v="-2"/>
    <n v="0"/>
    <n v="30"/>
    <n v="0"/>
    <m/>
    <n v="0"/>
    <n v="1"/>
    <n v="1398"/>
    <n v="22"/>
    <s v="Master's Degree"/>
    <n v="1"/>
    <n v="3"/>
    <n v="69"/>
    <n v="3"/>
    <n v="3"/>
    <n v="3"/>
    <n v="8412"/>
    <n v="2890"/>
    <n v="0"/>
    <n v="11"/>
    <n v="3"/>
    <n v="3"/>
    <n v="80"/>
    <n v="0"/>
    <n v="10"/>
    <n v="3"/>
    <n v="9"/>
    <n v="8"/>
    <n v="7"/>
    <n v="8"/>
  </r>
  <r>
    <x v="1"/>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x v="1"/>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x v="1"/>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x v="1"/>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x v="1"/>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x v="1"/>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x v="1"/>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x v="1"/>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x v="1"/>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x v="1"/>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x v="1"/>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x v="0"/>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x v="0"/>
    <s v="Travel_Rarely"/>
    <x v="2"/>
    <s v="Ex-Employees"/>
    <x v="1"/>
    <x v="2"/>
    <s v="STAFF-584"/>
    <n v="584"/>
    <x v="1"/>
    <x v="2"/>
    <x v="2"/>
    <s v="No"/>
    <s v="Y"/>
    <n v="2"/>
    <n v="-2"/>
    <n v="0"/>
    <n v="33"/>
    <n v="1"/>
    <n v="1"/>
    <n v="1"/>
    <n v="0"/>
    <n v="587"/>
    <n v="10"/>
    <s v="High School"/>
    <n v="1"/>
    <n v="1"/>
    <n v="38"/>
    <n v="1"/>
    <n v="1"/>
    <n v="4"/>
    <n v="3408"/>
    <n v="6705"/>
    <n v="7"/>
    <n v="13"/>
    <n v="3"/>
    <n v="1"/>
    <n v="80"/>
    <n v="3"/>
    <n v="8"/>
    <n v="3"/>
    <n v="4"/>
    <n v="3"/>
    <n v="1"/>
    <n v="3"/>
  </r>
  <r>
    <x v="1"/>
    <s v="Travel_Rarely"/>
    <x v="2"/>
    <s v="Current Employees"/>
    <x v="0"/>
    <x v="3"/>
    <s v="STAFF-585"/>
    <n v="585"/>
    <x v="1"/>
    <x v="6"/>
    <x v="0"/>
    <s v="No"/>
    <s v="Y"/>
    <n v="3"/>
    <n v="-2"/>
    <n v="0"/>
    <n v="30"/>
    <n v="0"/>
    <m/>
    <n v="0"/>
    <n v="1"/>
    <n v="413"/>
    <n v="7"/>
    <s v="High School"/>
    <n v="1"/>
    <n v="4"/>
    <n v="57"/>
    <n v="3"/>
    <n v="1"/>
    <n v="1"/>
    <n v="2983"/>
    <n v="18398"/>
    <n v="0"/>
    <n v="14"/>
    <n v="3"/>
    <n v="1"/>
    <n v="80"/>
    <n v="0"/>
    <n v="4"/>
    <n v="3"/>
    <n v="3"/>
    <n v="2"/>
    <n v="1"/>
    <n v="2"/>
  </r>
  <r>
    <x v="1"/>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x v="0"/>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x v="0"/>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x v="1"/>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x v="1"/>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x v="0"/>
    <s v="Travel_Frequently"/>
    <x v="4"/>
    <s v="Ex-Employees"/>
    <x v="1"/>
    <x v="4"/>
    <s v="STAFF-593"/>
    <n v="593"/>
    <x v="1"/>
    <x v="2"/>
    <x v="0"/>
    <s v="No"/>
    <s v="Y"/>
    <n v="3"/>
    <n v="-2"/>
    <n v="0"/>
    <n v="22"/>
    <n v="1"/>
    <n v="1"/>
    <n v="1"/>
    <n v="0"/>
    <n v="1368"/>
    <n v="4"/>
    <s v="High School"/>
    <n v="1"/>
    <n v="4"/>
    <n v="99"/>
    <n v="2"/>
    <n v="1"/>
    <n v="4"/>
    <n v="3894"/>
    <n v="9129"/>
    <n v="5"/>
    <n v="16"/>
    <n v="3"/>
    <n v="3"/>
    <n v="80"/>
    <n v="0"/>
    <n v="4"/>
    <n v="3"/>
    <n v="2"/>
    <n v="2"/>
    <n v="1"/>
    <n v="2"/>
  </r>
  <r>
    <x v="1"/>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x v="1"/>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x v="1"/>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x v="1"/>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x v="1"/>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x v="1"/>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x v="1"/>
    <s v="Travel_Rarely"/>
    <x v="2"/>
    <s v="Current Employees"/>
    <x v="0"/>
    <x v="0"/>
    <s v="STAFF-604"/>
    <n v="604"/>
    <x v="1"/>
    <x v="0"/>
    <x v="0"/>
    <s v="Yes"/>
    <s v="Y"/>
    <n v="2"/>
    <n v="-2"/>
    <n v="0"/>
    <n v="31"/>
    <n v="0"/>
    <m/>
    <n v="0"/>
    <n v="1"/>
    <n v="828"/>
    <n v="2"/>
    <s v="High School"/>
    <n v="1"/>
    <n v="2"/>
    <n v="77"/>
    <n v="3"/>
    <n v="2"/>
    <n v="2"/>
    <n v="6582"/>
    <n v="8346"/>
    <n v="4"/>
    <n v="13"/>
    <n v="3"/>
    <n v="3"/>
    <n v="80"/>
    <n v="0"/>
    <n v="10"/>
    <n v="4"/>
    <n v="6"/>
    <n v="5"/>
    <n v="0"/>
    <n v="5"/>
  </r>
  <r>
    <x v="1"/>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x v="1"/>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x v="0"/>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x v="1"/>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x v="1"/>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x v="1"/>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x v="0"/>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x v="1"/>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x v="1"/>
    <s v="Non-Travel"/>
    <x v="0"/>
    <s v="Current Employees"/>
    <x v="1"/>
    <x v="1"/>
    <s v="STAFF-616"/>
    <n v="616"/>
    <x v="0"/>
    <x v="4"/>
    <x v="0"/>
    <s v="Yes"/>
    <s v="Y"/>
    <n v="3"/>
    <n v="-2"/>
    <n v="0"/>
    <n v="41"/>
    <n v="0"/>
    <m/>
    <n v="0"/>
    <n v="1"/>
    <n v="509"/>
    <n v="2"/>
    <s v="Master's Degree"/>
    <n v="1"/>
    <n v="1"/>
    <n v="62"/>
    <n v="2"/>
    <n v="2"/>
    <n v="3"/>
    <n v="6811"/>
    <n v="2112"/>
    <n v="2"/>
    <n v="17"/>
    <n v="3"/>
    <n v="1"/>
    <n v="80"/>
    <n v="0"/>
    <n v="10"/>
    <n v="3"/>
    <n v="8"/>
    <n v="7"/>
    <n v="0"/>
    <n v="7"/>
  </r>
  <r>
    <x v="1"/>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x v="1"/>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x v="1"/>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x v="0"/>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x v="1"/>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x v="1"/>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x v="1"/>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x v="1"/>
    <s v="Non-Travel"/>
    <x v="0"/>
    <s v="Current Employees"/>
    <x v="0"/>
    <x v="2"/>
    <s v="STAFF-626"/>
    <n v="626"/>
    <x v="1"/>
    <x v="0"/>
    <x v="2"/>
    <s v="No"/>
    <s v="Y"/>
    <n v="6"/>
    <n v="-2"/>
    <n v="0"/>
    <n v="37"/>
    <n v="0"/>
    <m/>
    <n v="0"/>
    <n v="1"/>
    <n v="142"/>
    <n v="9"/>
    <s v="Master's Degree"/>
    <n v="1"/>
    <n v="1"/>
    <n v="69"/>
    <n v="3"/>
    <n v="3"/>
    <n v="3"/>
    <n v="8834"/>
    <n v="24666"/>
    <n v="1"/>
    <n v="13"/>
    <n v="3"/>
    <n v="4"/>
    <n v="80"/>
    <n v="1"/>
    <n v="9"/>
    <n v="3"/>
    <n v="9"/>
    <n v="5"/>
    <n v="7"/>
    <n v="7"/>
  </r>
  <r>
    <x v="1"/>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x v="0"/>
    <s v="Non-Travel"/>
    <x v="2"/>
    <s v="Ex-Employees"/>
    <x v="0"/>
    <x v="1"/>
    <s v="STAFF-631"/>
    <n v="631"/>
    <x v="1"/>
    <x v="0"/>
    <x v="1"/>
    <s v="No"/>
    <s v="Y"/>
    <n v="2"/>
    <n v="-2"/>
    <n v="0"/>
    <n v="32"/>
    <n v="1"/>
    <n v="1"/>
    <n v="1"/>
    <n v="0"/>
    <n v="1474"/>
    <n v="11"/>
    <s v="Master's Degree"/>
    <n v="1"/>
    <n v="4"/>
    <n v="60"/>
    <n v="4"/>
    <n v="2"/>
    <n v="3"/>
    <n v="4707"/>
    <n v="23914"/>
    <n v="8"/>
    <n v="12"/>
    <n v="3"/>
    <n v="4"/>
    <n v="80"/>
    <n v="0"/>
    <n v="6"/>
    <n v="3"/>
    <n v="4"/>
    <n v="2"/>
    <n v="1"/>
    <n v="2"/>
  </r>
  <r>
    <x v="1"/>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x v="1"/>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x v="1"/>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x v="1"/>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x v="1"/>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x v="1"/>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x v="1"/>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x v="1"/>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x v="1"/>
    <s v="Travel_Rarely"/>
    <x v="2"/>
    <s v="Current Employees"/>
    <x v="0"/>
    <x v="2"/>
    <s v="STAFF-645"/>
    <n v="645"/>
    <x v="1"/>
    <x v="6"/>
    <x v="1"/>
    <s v="No"/>
    <s v="Y"/>
    <n v="1"/>
    <n v="-2"/>
    <n v="0"/>
    <n v="25"/>
    <n v="0"/>
    <m/>
    <n v="0"/>
    <n v="1"/>
    <n v="622"/>
    <n v="13"/>
    <s v="High School"/>
    <n v="1"/>
    <n v="2"/>
    <n v="40"/>
    <n v="3"/>
    <n v="1"/>
    <n v="3"/>
    <n v="2096"/>
    <n v="26376"/>
    <n v="1"/>
    <n v="11"/>
    <n v="3"/>
    <n v="3"/>
    <n v="80"/>
    <n v="0"/>
    <n v="7"/>
    <n v="3"/>
    <n v="7"/>
    <n v="4"/>
    <n v="0"/>
    <n v="6"/>
  </r>
  <r>
    <x v="0"/>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x v="0"/>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x v="1"/>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x v="0"/>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x v="1"/>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x v="1"/>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x v="1"/>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x v="1"/>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x v="1"/>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x v="1"/>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x v="1"/>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x v="1"/>
    <s v="Travel_Rarely"/>
    <x v="0"/>
    <s v="Current Employees"/>
    <x v="1"/>
    <x v="0"/>
    <s v="STAFF-662"/>
    <n v="662"/>
    <x v="0"/>
    <x v="1"/>
    <x v="0"/>
    <s v="No"/>
    <s v="Y"/>
    <n v="3"/>
    <n v="-2"/>
    <n v="0"/>
    <n v="38"/>
    <n v="0"/>
    <m/>
    <n v="0"/>
    <n v="1"/>
    <n v="362"/>
    <n v="1"/>
    <s v="High School"/>
    <n v="1"/>
    <n v="3"/>
    <n v="43"/>
    <n v="3"/>
    <n v="1"/>
    <n v="2"/>
    <n v="2619"/>
    <n v="14561"/>
    <n v="3"/>
    <n v="17"/>
    <n v="3"/>
    <n v="4"/>
    <n v="80"/>
    <n v="0"/>
    <n v="8"/>
    <n v="2"/>
    <n v="0"/>
    <n v="0"/>
    <n v="0"/>
    <n v="0"/>
  </r>
  <r>
    <x v="1"/>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x v="1"/>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x v="1"/>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x v="1"/>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x v="0"/>
    <s v="Travel_Rarely"/>
    <x v="2"/>
    <s v="Ex-Employees"/>
    <x v="0"/>
    <x v="3"/>
    <s v="STAFF-667"/>
    <n v="667"/>
    <x v="1"/>
    <x v="6"/>
    <x v="2"/>
    <s v="No"/>
    <s v="Y"/>
    <n v="3"/>
    <n v="-2"/>
    <n v="0"/>
    <n v="27"/>
    <n v="1"/>
    <n v="1"/>
    <n v="1"/>
    <n v="0"/>
    <n v="1420"/>
    <n v="2"/>
    <s v="High School"/>
    <n v="1"/>
    <n v="3"/>
    <n v="85"/>
    <n v="3"/>
    <n v="1"/>
    <n v="1"/>
    <n v="3041"/>
    <n v="16346"/>
    <n v="0"/>
    <n v="11"/>
    <n v="3"/>
    <n v="2"/>
    <n v="80"/>
    <n v="1"/>
    <n v="5"/>
    <n v="3"/>
    <n v="4"/>
    <n v="3"/>
    <n v="0"/>
    <n v="2"/>
  </r>
  <r>
    <x v="1"/>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x v="1"/>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x v="1"/>
    <s v="Travel_Rarely"/>
    <x v="4"/>
    <s v="Current Employees"/>
    <x v="1"/>
    <x v="2"/>
    <s v="STAFF-675"/>
    <n v="675"/>
    <x v="1"/>
    <x v="1"/>
    <x v="1"/>
    <s v="No"/>
    <s v="Y"/>
    <n v="3"/>
    <n v="-2"/>
    <n v="0"/>
    <n v="22"/>
    <n v="0"/>
    <m/>
    <n v="0"/>
    <n v="1"/>
    <n v="604"/>
    <n v="6"/>
    <s v="High School"/>
    <n v="1"/>
    <n v="1"/>
    <n v="69"/>
    <n v="3"/>
    <n v="1"/>
    <n v="3"/>
    <n v="2773"/>
    <n v="12145"/>
    <n v="0"/>
    <n v="20"/>
    <n v="4"/>
    <n v="4"/>
    <n v="80"/>
    <n v="0"/>
    <n v="3"/>
    <n v="3"/>
    <n v="2"/>
    <n v="2"/>
    <n v="2"/>
    <n v="2"/>
  </r>
  <r>
    <x v="1"/>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x v="1"/>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x v="1"/>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x v="1"/>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x v="1"/>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x v="0"/>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x v="1"/>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x v="1"/>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x v="1"/>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x v="1"/>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x v="1"/>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x v="1"/>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x v="1"/>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x v="1"/>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x v="0"/>
    <s v="Travel_Rarely"/>
    <x v="4"/>
    <s v="Ex-Employees"/>
    <x v="1"/>
    <x v="2"/>
    <s v="STAFF-701"/>
    <n v="701"/>
    <x v="1"/>
    <x v="1"/>
    <x v="0"/>
    <s v="Yes"/>
    <s v="Y"/>
    <n v="5"/>
    <n v="-2"/>
    <n v="0"/>
    <n v="20"/>
    <n v="1"/>
    <n v="1"/>
    <n v="1"/>
    <n v="0"/>
    <n v="1362"/>
    <n v="10"/>
    <s v="High School"/>
    <n v="1"/>
    <n v="4"/>
    <n v="32"/>
    <n v="3"/>
    <n v="1"/>
    <n v="3"/>
    <n v="1009"/>
    <n v="26999"/>
    <n v="1"/>
    <n v="11"/>
    <n v="3"/>
    <n v="4"/>
    <n v="80"/>
    <n v="0"/>
    <n v="1"/>
    <n v="3"/>
    <n v="1"/>
    <n v="0"/>
    <n v="1"/>
    <n v="1"/>
  </r>
  <r>
    <x v="0"/>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x v="1"/>
    <s v="Non-Travel"/>
    <x v="0"/>
    <s v="Current Employees"/>
    <x v="1"/>
    <x v="0"/>
    <s v="STAFF-704"/>
    <n v="704"/>
    <x v="1"/>
    <x v="2"/>
    <x v="1"/>
    <s v="No"/>
    <s v="Y"/>
    <n v="3"/>
    <n v="-2"/>
    <n v="0"/>
    <n v="35"/>
    <n v="0"/>
    <m/>
    <n v="0"/>
    <n v="1"/>
    <n v="727"/>
    <n v="3"/>
    <s v="Bachelor's Degree"/>
    <n v="1"/>
    <n v="3"/>
    <n v="41"/>
    <n v="2"/>
    <n v="1"/>
    <n v="2"/>
    <n v="1281"/>
    <n v="16900"/>
    <n v="1"/>
    <n v="18"/>
    <n v="3"/>
    <n v="3"/>
    <n v="80"/>
    <n v="2"/>
    <n v="1"/>
    <n v="3"/>
    <n v="1"/>
    <n v="0"/>
    <n v="0"/>
    <n v="0"/>
  </r>
  <r>
    <x v="1"/>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x v="1"/>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x v="1"/>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x v="1"/>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x v="1"/>
    <s v="Travel_Rarely"/>
    <x v="1"/>
    <s v="Current Employees"/>
    <x v="0"/>
    <x v="3"/>
    <s v="STAFF-712"/>
    <n v="712"/>
    <x v="1"/>
    <x v="0"/>
    <x v="1"/>
    <s v="No"/>
    <s v="Y"/>
    <n v="3"/>
    <n v="-2"/>
    <n v="0"/>
    <n v="48"/>
    <n v="0"/>
    <m/>
    <n v="0"/>
    <n v="1"/>
    <n v="817"/>
    <n v="2"/>
    <s v="High School"/>
    <n v="1"/>
    <n v="2"/>
    <n v="56"/>
    <n v="4"/>
    <n v="2"/>
    <n v="1"/>
    <n v="8120"/>
    <n v="18597"/>
    <n v="3"/>
    <n v="12"/>
    <n v="3"/>
    <n v="4"/>
    <n v="80"/>
    <n v="0"/>
    <n v="12"/>
    <n v="3"/>
    <n v="2"/>
    <n v="2"/>
    <n v="2"/>
    <n v="2"/>
  </r>
  <r>
    <x v="1"/>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x v="1"/>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x v="1"/>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x v="1"/>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x v="0"/>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x v="1"/>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x v="1"/>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x v="0"/>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x v="1"/>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x v="1"/>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x v="1"/>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x v="1"/>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x v="1"/>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x v="1"/>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x v="1"/>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x v="1"/>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x v="1"/>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x v="1"/>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x v="1"/>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x v="0"/>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x v="1"/>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x v="1"/>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x v="1"/>
    <s v="Non-Travel"/>
    <x v="0"/>
    <s v="Current Employees"/>
    <x v="1"/>
    <x v="2"/>
    <s v="STAFF-744"/>
    <n v="744"/>
    <x v="1"/>
    <x v="2"/>
    <x v="0"/>
    <s v="No"/>
    <s v="Y"/>
    <n v="5"/>
    <n v="-2"/>
    <n v="0"/>
    <n v="44"/>
    <n v="0"/>
    <m/>
    <n v="0"/>
    <n v="1"/>
    <n v="381"/>
    <n v="24"/>
    <s v="Bachelor's Degree"/>
    <n v="1"/>
    <n v="1"/>
    <n v="49"/>
    <n v="1"/>
    <n v="1"/>
    <n v="3"/>
    <n v="3708"/>
    <n v="2104"/>
    <n v="2"/>
    <n v="14"/>
    <n v="3"/>
    <n v="3"/>
    <n v="80"/>
    <n v="0"/>
    <n v="9"/>
    <n v="3"/>
    <n v="5"/>
    <n v="2"/>
    <n v="1"/>
    <n v="4"/>
  </r>
  <r>
    <x v="1"/>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x v="1"/>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x v="1"/>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x v="0"/>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x v="1"/>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x v="1"/>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x v="1"/>
    <s v="Travel_Rarely"/>
    <x v="4"/>
    <s v="Current Employees"/>
    <x v="1"/>
    <x v="2"/>
    <s v="STAFF-758"/>
    <n v="758"/>
    <x v="1"/>
    <x v="2"/>
    <x v="1"/>
    <s v="No"/>
    <s v="Y"/>
    <n v="2"/>
    <n v="-2"/>
    <n v="0"/>
    <n v="23"/>
    <n v="0"/>
    <m/>
    <n v="0"/>
    <n v="1"/>
    <n v="650"/>
    <n v="9"/>
    <s v="High School"/>
    <n v="1"/>
    <n v="2"/>
    <n v="37"/>
    <n v="3"/>
    <n v="1"/>
    <n v="3"/>
    <n v="2500"/>
    <n v="4344"/>
    <n v="1"/>
    <n v="14"/>
    <n v="3"/>
    <n v="4"/>
    <n v="80"/>
    <n v="1"/>
    <n v="5"/>
    <n v="4"/>
    <n v="4"/>
    <n v="3"/>
    <n v="0"/>
    <n v="2"/>
  </r>
  <r>
    <x v="1"/>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x v="1"/>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x v="1"/>
    <s v="Travel_Rarely"/>
    <x v="0"/>
    <s v="Current Employees"/>
    <x v="1"/>
    <x v="2"/>
    <s v="STAFF-763"/>
    <n v="763"/>
    <x v="0"/>
    <x v="1"/>
    <x v="0"/>
    <s v="Yes"/>
    <s v="Y"/>
    <n v="2"/>
    <n v="-2"/>
    <n v="0"/>
    <n v="40"/>
    <n v="0"/>
    <m/>
    <n v="0"/>
    <n v="1"/>
    <n v="804"/>
    <n v="2"/>
    <s v="High School"/>
    <n v="1"/>
    <n v="4"/>
    <n v="86"/>
    <n v="2"/>
    <n v="1"/>
    <n v="4"/>
    <n v="2342"/>
    <n v="22929"/>
    <n v="0"/>
    <n v="20"/>
    <n v="4"/>
    <n v="4"/>
    <n v="80"/>
    <n v="0"/>
    <n v="5"/>
    <n v="2"/>
    <n v="4"/>
    <n v="2"/>
    <n v="2"/>
    <n v="3"/>
  </r>
  <r>
    <x v="1"/>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x v="1"/>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x v="1"/>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x v="1"/>
    <s v="Non-Travel"/>
    <x v="0"/>
    <s v="Current Employees"/>
    <x v="1"/>
    <x v="0"/>
    <s v="STAFF-771"/>
    <n v="771"/>
    <x v="0"/>
    <x v="4"/>
    <x v="2"/>
    <s v="No"/>
    <s v="Y"/>
    <n v="2"/>
    <n v="-2"/>
    <n v="0"/>
    <n v="35"/>
    <n v="0"/>
    <m/>
    <n v="0"/>
    <n v="1"/>
    <n v="1225"/>
    <n v="2"/>
    <s v="Master's Degree"/>
    <n v="1"/>
    <n v="4"/>
    <n v="61"/>
    <n v="3"/>
    <n v="2"/>
    <n v="1"/>
    <n v="5093"/>
    <n v="4761"/>
    <n v="2"/>
    <n v="11"/>
    <n v="3"/>
    <n v="1"/>
    <n v="80"/>
    <n v="1"/>
    <n v="16"/>
    <n v="4"/>
    <n v="1"/>
    <n v="0"/>
    <n v="0"/>
    <n v="0"/>
  </r>
  <r>
    <x v="1"/>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x v="1"/>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x v="1"/>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x v="1"/>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x v="0"/>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x v="1"/>
    <s v="Travel_Rarely"/>
    <x v="2"/>
    <s v="Current Employees"/>
    <x v="0"/>
    <x v="2"/>
    <s v="STAFF-781"/>
    <n v="781"/>
    <x v="0"/>
    <x v="0"/>
    <x v="0"/>
    <s v="No"/>
    <s v="Y"/>
    <n v="5"/>
    <n v="-2"/>
    <n v="0"/>
    <n v="25"/>
    <n v="0"/>
    <m/>
    <n v="0"/>
    <n v="1"/>
    <n v="883"/>
    <n v="26"/>
    <s v="High School"/>
    <n v="1"/>
    <n v="3"/>
    <n v="32"/>
    <n v="3"/>
    <n v="2"/>
    <n v="4"/>
    <n v="6180"/>
    <n v="22807"/>
    <n v="1"/>
    <n v="23"/>
    <n v="4"/>
    <n v="2"/>
    <n v="80"/>
    <n v="0"/>
    <n v="6"/>
    <n v="2"/>
    <n v="6"/>
    <n v="5"/>
    <n v="1"/>
    <n v="4"/>
  </r>
  <r>
    <x v="1"/>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x v="1"/>
    <s v="Travel_Rarely"/>
    <x v="4"/>
    <s v="Current Employees"/>
    <x v="1"/>
    <x v="2"/>
    <s v="STAFF-784"/>
    <n v="784"/>
    <x v="1"/>
    <x v="1"/>
    <x v="0"/>
    <s v="No"/>
    <s v="Y"/>
    <n v="3"/>
    <n v="-2"/>
    <n v="0"/>
    <n v="23"/>
    <n v="0"/>
    <m/>
    <n v="0"/>
    <n v="1"/>
    <n v="310"/>
    <n v="10"/>
    <s v="High School"/>
    <n v="1"/>
    <n v="1"/>
    <n v="79"/>
    <n v="4"/>
    <n v="1"/>
    <n v="3"/>
    <n v="3505"/>
    <n v="19630"/>
    <n v="1"/>
    <n v="18"/>
    <n v="3"/>
    <n v="4"/>
    <n v="80"/>
    <n v="0"/>
    <n v="2"/>
    <n v="3"/>
    <n v="2"/>
    <n v="2"/>
    <n v="0"/>
    <n v="2"/>
  </r>
  <r>
    <x v="0"/>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x v="1"/>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x v="0"/>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x v="1"/>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x v="1"/>
    <s v="Non-Travel"/>
    <x v="1"/>
    <s v="Current Employees"/>
    <x v="1"/>
    <x v="2"/>
    <s v="STAFF-791"/>
    <n v="791"/>
    <x v="1"/>
    <x v="1"/>
    <x v="1"/>
    <s v="No"/>
    <s v="Y"/>
    <n v="3"/>
    <n v="-2"/>
    <n v="0"/>
    <n v="52"/>
    <n v="0"/>
    <m/>
    <n v="0"/>
    <n v="1"/>
    <n v="715"/>
    <n v="19"/>
    <s v="Master's Degree"/>
    <n v="1"/>
    <n v="4"/>
    <n v="41"/>
    <n v="3"/>
    <n v="1"/>
    <n v="4"/>
    <n v="4258"/>
    <n v="26589"/>
    <n v="0"/>
    <n v="18"/>
    <n v="3"/>
    <n v="1"/>
    <n v="80"/>
    <n v="1"/>
    <n v="5"/>
    <n v="3"/>
    <n v="4"/>
    <n v="3"/>
    <n v="1"/>
    <n v="2"/>
  </r>
  <r>
    <x v="1"/>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x v="1"/>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x v="0"/>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x v="1"/>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x v="1"/>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x v="1"/>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x v="1"/>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x v="1"/>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x v="1"/>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x v="1"/>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x v="1"/>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x v="1"/>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x v="1"/>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x v="1"/>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x v="0"/>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x v="1"/>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x v="1"/>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x v="1"/>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x v="0"/>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x v="1"/>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x v="0"/>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x v="1"/>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x v="1"/>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x v="1"/>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x v="0"/>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x v="1"/>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x v="1"/>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x v="0"/>
    <s v="Travel_Rarely"/>
    <x v="2"/>
    <s v="Ex-Employees"/>
    <x v="1"/>
    <x v="2"/>
    <s v="STAFF-828"/>
    <n v="828"/>
    <x v="1"/>
    <x v="1"/>
    <x v="0"/>
    <s v="No"/>
    <s v="Y"/>
    <n v="3"/>
    <n v="-2"/>
    <n v="0"/>
    <n v="28"/>
    <n v="1"/>
    <n v="1"/>
    <n v="1"/>
    <n v="0"/>
    <n v="890"/>
    <n v="2"/>
    <s v="Master's Degree"/>
    <n v="1"/>
    <n v="3"/>
    <n v="46"/>
    <n v="3"/>
    <n v="1"/>
    <n v="3"/>
    <n v="4382"/>
    <n v="16374"/>
    <n v="6"/>
    <n v="17"/>
    <n v="3"/>
    <n v="4"/>
    <n v="80"/>
    <n v="0"/>
    <n v="5"/>
    <n v="2"/>
    <n v="2"/>
    <n v="2"/>
    <n v="2"/>
    <n v="1"/>
  </r>
  <r>
    <x v="1"/>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x v="1"/>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x v="1"/>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x v="1"/>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x v="1"/>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x v="1"/>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x v="1"/>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x v="1"/>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x v="0"/>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x v="0"/>
    <s v="Travel_Rarely"/>
    <x v="3"/>
    <s v="Ex-Employees"/>
    <x v="0"/>
    <x v="2"/>
    <s v="STAFF-842"/>
    <n v="842"/>
    <x v="1"/>
    <x v="0"/>
    <x v="0"/>
    <s v="No"/>
    <s v="Y"/>
    <n v="3"/>
    <n v="-2"/>
    <n v="0"/>
    <n v="55"/>
    <n v="1"/>
    <n v="1"/>
    <n v="1"/>
    <n v="0"/>
    <n v="436"/>
    <n v="2"/>
    <s v="High School"/>
    <n v="1"/>
    <n v="3"/>
    <n v="37"/>
    <n v="3"/>
    <n v="2"/>
    <n v="4"/>
    <n v="5160"/>
    <n v="21519"/>
    <n v="4"/>
    <n v="16"/>
    <n v="3"/>
    <n v="3"/>
    <n v="80"/>
    <n v="0"/>
    <n v="12"/>
    <n v="2"/>
    <n v="9"/>
    <n v="7"/>
    <n v="7"/>
    <n v="3"/>
  </r>
  <r>
    <x v="1"/>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x v="1"/>
    <s v="Travel_Rarely"/>
    <x v="2"/>
    <s v="Current Employees"/>
    <x v="1"/>
    <x v="4"/>
    <s v="STAFF-844"/>
    <n v="844"/>
    <x v="1"/>
    <x v="7"/>
    <x v="2"/>
    <s v="Yes"/>
    <s v="Y"/>
    <n v="3"/>
    <n v="-2"/>
    <n v="0"/>
    <n v="27"/>
    <n v="0"/>
    <m/>
    <n v="0"/>
    <n v="1"/>
    <n v="269"/>
    <n v="5"/>
    <s v="High School"/>
    <n v="1"/>
    <n v="4"/>
    <n v="42"/>
    <n v="2"/>
    <n v="3"/>
    <n v="4"/>
    <n v="12808"/>
    <n v="8842"/>
    <n v="1"/>
    <n v="16"/>
    <n v="3"/>
    <n v="2"/>
    <n v="80"/>
    <n v="1"/>
    <n v="9"/>
    <n v="3"/>
    <n v="9"/>
    <n v="8"/>
    <n v="0"/>
    <n v="8"/>
  </r>
  <r>
    <x v="1"/>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x v="1"/>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x v="1"/>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x v="0"/>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x v="1"/>
    <s v="Non-Travel"/>
    <x v="2"/>
    <s v="Current Employees"/>
    <x v="1"/>
    <x v="2"/>
    <s v="STAFF-850"/>
    <n v="850"/>
    <x v="1"/>
    <x v="1"/>
    <x v="1"/>
    <s v="No"/>
    <s v="Y"/>
    <n v="6"/>
    <n v="-2"/>
    <n v="0"/>
    <n v="27"/>
    <n v="0"/>
    <m/>
    <n v="0"/>
    <n v="1"/>
    <n v="443"/>
    <n v="3"/>
    <s v="Bachelor's Degree"/>
    <n v="1"/>
    <n v="4"/>
    <n v="50"/>
    <n v="3"/>
    <n v="1"/>
    <n v="4"/>
    <n v="1706"/>
    <n v="16571"/>
    <n v="1"/>
    <n v="11"/>
    <n v="3"/>
    <n v="3"/>
    <n v="80"/>
    <n v="3"/>
    <n v="0"/>
    <n v="2"/>
    <n v="0"/>
    <n v="0"/>
    <n v="0"/>
    <n v="0"/>
  </r>
  <r>
    <x v="1"/>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x v="1"/>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x v="1"/>
    <s v="Travel_Rarely"/>
    <x v="2"/>
    <s v="Current Employees"/>
    <x v="1"/>
    <x v="2"/>
    <s v="STAFF-854"/>
    <n v="854"/>
    <x v="1"/>
    <x v="1"/>
    <x v="0"/>
    <s v="No"/>
    <s v="Y"/>
    <n v="3"/>
    <n v="-2"/>
    <n v="0"/>
    <n v="25"/>
    <n v="0"/>
    <m/>
    <n v="0"/>
    <n v="1"/>
    <n v="180"/>
    <n v="2"/>
    <s v="High School"/>
    <n v="1"/>
    <n v="1"/>
    <n v="65"/>
    <n v="4"/>
    <n v="1"/>
    <n v="3"/>
    <n v="3424"/>
    <n v="21632"/>
    <n v="7"/>
    <n v="13"/>
    <n v="3"/>
    <n v="3"/>
    <n v="80"/>
    <n v="0"/>
    <n v="6"/>
    <n v="2"/>
    <n v="4"/>
    <n v="3"/>
    <n v="0"/>
    <n v="1"/>
  </r>
  <r>
    <x v="1"/>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x v="1"/>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x v="1"/>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x v="1"/>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x v="1"/>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x v="1"/>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x v="1"/>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x v="1"/>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x v="1"/>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x v="1"/>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x v="1"/>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x v="1"/>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x v="1"/>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x v="1"/>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x v="1"/>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x v="1"/>
    <s v="Travel_Rarely"/>
    <x v="2"/>
    <s v="Current Employees"/>
    <x v="0"/>
    <x v="1"/>
    <s v="STAFF-879"/>
    <n v="879"/>
    <x v="1"/>
    <x v="0"/>
    <x v="1"/>
    <s v="Yes"/>
    <s v="Y"/>
    <n v="3"/>
    <n v="-2"/>
    <n v="0"/>
    <n v="25"/>
    <n v="0"/>
    <m/>
    <n v="0"/>
    <n v="1"/>
    <n v="141"/>
    <n v="3"/>
    <s v="High School"/>
    <n v="1"/>
    <n v="3"/>
    <n v="98"/>
    <n v="3"/>
    <n v="2"/>
    <n v="3"/>
    <n v="4194"/>
    <n v="14363"/>
    <n v="1"/>
    <n v="18"/>
    <n v="3"/>
    <n v="4"/>
    <n v="80"/>
    <n v="0"/>
    <n v="5"/>
    <n v="3"/>
    <n v="5"/>
    <n v="3"/>
    <n v="0"/>
    <n v="3"/>
  </r>
  <r>
    <x v="1"/>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x v="0"/>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x v="1"/>
    <s v="Non-Travel"/>
    <x v="2"/>
    <s v="Current Employees"/>
    <x v="1"/>
    <x v="0"/>
    <s v="STAFF-882"/>
    <n v="882"/>
    <x v="1"/>
    <x v="2"/>
    <x v="2"/>
    <s v="No"/>
    <s v="Y"/>
    <n v="2"/>
    <n v="-2"/>
    <n v="0"/>
    <n v="32"/>
    <n v="0"/>
    <m/>
    <n v="0"/>
    <n v="1"/>
    <n v="300"/>
    <n v="1"/>
    <s v="Bachelor's Degree"/>
    <n v="1"/>
    <n v="4"/>
    <n v="61"/>
    <n v="3"/>
    <n v="1"/>
    <n v="1"/>
    <n v="2314"/>
    <n v="9148"/>
    <n v="0"/>
    <n v="12"/>
    <n v="3"/>
    <n v="2"/>
    <n v="80"/>
    <n v="1"/>
    <n v="4"/>
    <n v="3"/>
    <n v="3"/>
    <n v="0"/>
    <n v="0"/>
    <n v="2"/>
  </r>
  <r>
    <x v="1"/>
    <s v="Travel_Rarely"/>
    <x v="2"/>
    <s v="Current Employees"/>
    <x v="0"/>
    <x v="3"/>
    <s v="STAFF-885"/>
    <n v="885"/>
    <x v="1"/>
    <x v="0"/>
    <x v="1"/>
    <s v="No"/>
    <s v="Y"/>
    <n v="1"/>
    <n v="-2"/>
    <n v="0"/>
    <n v="25"/>
    <n v="0"/>
    <m/>
    <n v="0"/>
    <n v="1"/>
    <n v="583"/>
    <n v="4"/>
    <s v="High School"/>
    <n v="1"/>
    <n v="3"/>
    <n v="87"/>
    <n v="2"/>
    <n v="2"/>
    <n v="2"/>
    <n v="4256"/>
    <n v="18154"/>
    <n v="1"/>
    <n v="12"/>
    <n v="3"/>
    <n v="1"/>
    <n v="80"/>
    <n v="0"/>
    <n v="5"/>
    <n v="4"/>
    <n v="5"/>
    <n v="2"/>
    <n v="0"/>
    <n v="3"/>
  </r>
  <r>
    <x v="1"/>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x v="1"/>
    <s v="Non-Travel"/>
    <x v="4"/>
    <s v="Current Employees"/>
    <x v="1"/>
    <x v="0"/>
    <s v="STAFF-888"/>
    <n v="888"/>
    <x v="1"/>
    <x v="2"/>
    <x v="1"/>
    <s v="No"/>
    <s v="Y"/>
    <n v="2"/>
    <n v="-2"/>
    <n v="0"/>
    <n v="24"/>
    <n v="0"/>
    <m/>
    <n v="0"/>
    <n v="1"/>
    <n v="1269"/>
    <n v="4"/>
    <s v="High School"/>
    <n v="1"/>
    <n v="1"/>
    <n v="46"/>
    <n v="2"/>
    <n v="1"/>
    <n v="1"/>
    <n v="3162"/>
    <n v="10778"/>
    <n v="0"/>
    <n v="17"/>
    <n v="3"/>
    <n v="4"/>
    <n v="80"/>
    <n v="0"/>
    <n v="6"/>
    <n v="2"/>
    <n v="5"/>
    <n v="2"/>
    <n v="3"/>
    <n v="4"/>
  </r>
  <r>
    <x v="1"/>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x v="1"/>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x v="1"/>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x v="1"/>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x v="0"/>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x v="1"/>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x v="1"/>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x v="1"/>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x v="1"/>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x v="1"/>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x v="1"/>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x v="1"/>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x v="1"/>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x v="1"/>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x v="1"/>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x v="0"/>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x v="1"/>
    <s v="Travel_Rarely"/>
    <x v="2"/>
    <s v="Current Employees"/>
    <x v="1"/>
    <x v="2"/>
    <s v="STAFF-912"/>
    <n v="912"/>
    <x v="0"/>
    <x v="2"/>
    <x v="2"/>
    <s v="No"/>
    <s v="Y"/>
    <n v="5"/>
    <n v="-2"/>
    <n v="0"/>
    <n v="29"/>
    <n v="0"/>
    <m/>
    <n v="0"/>
    <n v="1"/>
    <n v="1086"/>
    <n v="7"/>
    <s v="High School"/>
    <n v="1"/>
    <n v="1"/>
    <n v="62"/>
    <n v="2"/>
    <n v="1"/>
    <n v="4"/>
    <n v="2532"/>
    <n v="6054"/>
    <n v="6"/>
    <n v="14"/>
    <n v="3"/>
    <n v="3"/>
    <n v="80"/>
    <n v="3"/>
    <n v="8"/>
    <n v="3"/>
    <n v="4"/>
    <n v="3"/>
    <n v="0"/>
    <n v="3"/>
  </r>
  <r>
    <x v="1"/>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x v="1"/>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x v="0"/>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x v="1"/>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x v="0"/>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x v="0"/>
    <s v="Travel_Rarely"/>
    <x v="4"/>
    <s v="Ex-Employees"/>
    <x v="1"/>
    <x v="1"/>
    <s v="STAFF-923"/>
    <n v="923"/>
    <x v="0"/>
    <x v="1"/>
    <x v="0"/>
    <s v="No"/>
    <s v="Y"/>
    <n v="3"/>
    <n v="-2"/>
    <n v="0"/>
    <n v="21"/>
    <n v="1"/>
    <n v="1"/>
    <n v="1"/>
    <n v="0"/>
    <n v="1427"/>
    <n v="18"/>
    <s v="High School"/>
    <n v="1"/>
    <n v="4"/>
    <n v="65"/>
    <n v="3"/>
    <n v="1"/>
    <n v="4"/>
    <n v="2693"/>
    <n v="8870"/>
    <n v="1"/>
    <n v="19"/>
    <n v="3"/>
    <n v="1"/>
    <n v="80"/>
    <n v="0"/>
    <n v="1"/>
    <n v="2"/>
    <n v="1"/>
    <n v="0"/>
    <n v="0"/>
    <n v="0"/>
  </r>
  <r>
    <x v="1"/>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x v="1"/>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x v="0"/>
    <s v="Travel_Rarely"/>
    <x v="4"/>
    <s v="Ex-Employees"/>
    <x v="1"/>
    <x v="0"/>
    <s v="STAFF-926"/>
    <n v="926"/>
    <x v="0"/>
    <x v="3"/>
    <x v="1"/>
    <s v="Yes"/>
    <s v="Y"/>
    <n v="3"/>
    <n v="-2"/>
    <n v="0"/>
    <n v="22"/>
    <n v="1"/>
    <n v="1"/>
    <n v="1"/>
    <n v="0"/>
    <n v="617"/>
    <n v="3"/>
    <s v="High School"/>
    <n v="1"/>
    <n v="2"/>
    <n v="34"/>
    <n v="3"/>
    <n v="2"/>
    <n v="1"/>
    <n v="4171"/>
    <n v="10022"/>
    <n v="0"/>
    <n v="19"/>
    <n v="3"/>
    <n v="1"/>
    <n v="80"/>
    <n v="1"/>
    <n v="4"/>
    <n v="4"/>
    <n v="3"/>
    <n v="2"/>
    <n v="0"/>
    <n v="2"/>
  </r>
  <r>
    <x v="0"/>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x v="1"/>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x v="0"/>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x v="1"/>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x v="1"/>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x v="1"/>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x v="1"/>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x v="1"/>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x v="1"/>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x v="1"/>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x v="1"/>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x v="1"/>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x v="1"/>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x v="1"/>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x v="1"/>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x v="1"/>
    <s v="Non-Travel"/>
    <x v="2"/>
    <s v="Current Employees"/>
    <x v="1"/>
    <x v="0"/>
    <s v="STAFF-951"/>
    <n v="951"/>
    <x v="0"/>
    <x v="2"/>
    <x v="1"/>
    <s v="No"/>
    <s v="Y"/>
    <n v="3"/>
    <n v="-2"/>
    <n v="0"/>
    <n v="32"/>
    <n v="0"/>
    <m/>
    <n v="0"/>
    <n v="1"/>
    <n v="1184"/>
    <n v="1"/>
    <s v="Bachelor's Degree"/>
    <n v="1"/>
    <n v="3"/>
    <n v="70"/>
    <n v="2"/>
    <n v="1"/>
    <n v="1"/>
    <n v="2332"/>
    <n v="3974"/>
    <n v="6"/>
    <n v="20"/>
    <n v="4"/>
    <n v="3"/>
    <n v="80"/>
    <n v="0"/>
    <n v="5"/>
    <n v="3"/>
    <n v="3"/>
    <n v="0"/>
    <n v="0"/>
    <n v="2"/>
  </r>
  <r>
    <x v="0"/>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x v="1"/>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x v="1"/>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x v="1"/>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x v="1"/>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x v="0"/>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x v="0"/>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x v="1"/>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x v="1"/>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x v="1"/>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x v="0"/>
    <s v="Travel_Rarely"/>
    <x v="0"/>
    <s v="Ex-Employees"/>
    <x v="0"/>
    <x v="0"/>
    <s v="STAFF-967"/>
    <n v="967"/>
    <x v="1"/>
    <x v="0"/>
    <x v="1"/>
    <s v="Yes"/>
    <s v="Y"/>
    <n v="6"/>
    <n v="-2"/>
    <n v="0"/>
    <n v="36"/>
    <n v="1"/>
    <n v="1"/>
    <n v="1"/>
    <n v="0"/>
    <n v="530"/>
    <n v="3"/>
    <s v="High School"/>
    <n v="1"/>
    <n v="3"/>
    <n v="51"/>
    <n v="2"/>
    <n v="3"/>
    <n v="1"/>
    <n v="10325"/>
    <n v="5518"/>
    <n v="1"/>
    <n v="11"/>
    <n v="3"/>
    <n v="1"/>
    <n v="80"/>
    <n v="1"/>
    <n v="16"/>
    <n v="3"/>
    <n v="16"/>
    <n v="7"/>
    <n v="3"/>
    <n v="7"/>
  </r>
  <r>
    <x v="1"/>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x v="0"/>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x v="1"/>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x v="1"/>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x v="1"/>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x v="1"/>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x v="0"/>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x v="1"/>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x v="1"/>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x v="1"/>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x v="1"/>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x v="1"/>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x v="0"/>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x v="1"/>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x v="1"/>
    <s v="Non-Travel"/>
    <x v="0"/>
    <s v="Current Employees"/>
    <x v="0"/>
    <x v="4"/>
    <s v="STAFF-990"/>
    <n v="990"/>
    <x v="1"/>
    <x v="0"/>
    <x v="2"/>
    <s v="No"/>
    <s v="Y"/>
    <n v="3"/>
    <n v="-2"/>
    <n v="0"/>
    <n v="36"/>
    <n v="0"/>
    <m/>
    <n v="0"/>
    <n v="1"/>
    <n v="1229"/>
    <n v="8"/>
    <s v="Master's Degree"/>
    <n v="1"/>
    <n v="4"/>
    <n v="84"/>
    <n v="3"/>
    <n v="2"/>
    <n v="4"/>
    <n v="5079"/>
    <n v="25952"/>
    <n v="4"/>
    <n v="13"/>
    <n v="3"/>
    <n v="4"/>
    <n v="80"/>
    <n v="2"/>
    <n v="12"/>
    <n v="3"/>
    <n v="7"/>
    <n v="7"/>
    <n v="0"/>
    <n v="7"/>
  </r>
  <r>
    <x v="0"/>
    <s v="Non-Travel"/>
    <x v="2"/>
    <s v="Ex-Employees"/>
    <x v="1"/>
    <x v="2"/>
    <s v="STAFF-991"/>
    <n v="991"/>
    <x v="1"/>
    <x v="1"/>
    <x v="0"/>
    <s v="Yes"/>
    <s v="Y"/>
    <n v="0"/>
    <n v="-2"/>
    <n v="0"/>
    <n v="31"/>
    <n v="1"/>
    <n v="1"/>
    <n v="1"/>
    <n v="0"/>
    <n v="335"/>
    <n v="9"/>
    <s v="Associates Degree"/>
    <n v="1"/>
    <n v="3"/>
    <n v="46"/>
    <n v="2"/>
    <n v="1"/>
    <n v="3"/>
    <n v="2321"/>
    <n v="10322"/>
    <n v="0"/>
    <n v="22"/>
    <n v="4"/>
    <n v="1"/>
    <n v="80"/>
    <n v="0"/>
    <n v="4"/>
    <n v="3"/>
    <n v="3"/>
    <n v="2"/>
    <n v="1"/>
    <n v="2"/>
  </r>
  <r>
    <x v="1"/>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x v="0"/>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x v="1"/>
    <s v="Travel_Rarely"/>
    <x v="2"/>
    <s v="Current Employees"/>
    <x v="1"/>
    <x v="0"/>
    <s v="STAFF-995"/>
    <n v="995"/>
    <x v="0"/>
    <x v="1"/>
    <x v="0"/>
    <s v="No"/>
    <s v="Y"/>
    <n v="4"/>
    <n v="-2"/>
    <n v="0"/>
    <n v="33"/>
    <n v="0"/>
    <m/>
    <n v="0"/>
    <n v="1"/>
    <n v="461"/>
    <n v="13"/>
    <s v="High School"/>
    <n v="1"/>
    <n v="2"/>
    <n v="53"/>
    <n v="3"/>
    <n v="1"/>
    <n v="1"/>
    <n v="3452"/>
    <n v="17241"/>
    <n v="3"/>
    <n v="18"/>
    <n v="3"/>
    <n v="1"/>
    <n v="80"/>
    <n v="0"/>
    <n v="5"/>
    <n v="3"/>
    <n v="3"/>
    <n v="2"/>
    <n v="0"/>
    <n v="2"/>
  </r>
  <r>
    <x v="1"/>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x v="1"/>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x v="1"/>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x v="1"/>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x v="1"/>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x v="1"/>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x v="1"/>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x v="0"/>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x v="1"/>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x v="1"/>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x v="1"/>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x v="1"/>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x v="0"/>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x v="1"/>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x v="1"/>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x v="1"/>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x v="1"/>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x v="1"/>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x v="0"/>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x v="0"/>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x v="1"/>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x v="1"/>
    <s v="Travel_Rarely"/>
    <x v="4"/>
    <s v="Current Employees"/>
    <x v="1"/>
    <x v="0"/>
    <s v="STAFF-1019"/>
    <n v="1019"/>
    <x v="1"/>
    <x v="2"/>
    <x v="1"/>
    <s v="No"/>
    <s v="Y"/>
    <n v="3"/>
    <n v="-2"/>
    <n v="0"/>
    <n v="22"/>
    <n v="0"/>
    <m/>
    <n v="0"/>
    <n v="1"/>
    <n v="217"/>
    <n v="8"/>
    <s v="High School"/>
    <n v="1"/>
    <n v="2"/>
    <n v="94"/>
    <n v="1"/>
    <n v="1"/>
    <n v="1"/>
    <n v="2451"/>
    <n v="6881"/>
    <n v="1"/>
    <n v="15"/>
    <n v="3"/>
    <n v="1"/>
    <n v="80"/>
    <n v="1"/>
    <n v="4"/>
    <n v="2"/>
    <n v="4"/>
    <n v="3"/>
    <n v="1"/>
    <n v="1"/>
  </r>
  <r>
    <x v="1"/>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x v="1"/>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x v="1"/>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x v="1"/>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x v="1"/>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x v="1"/>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x v="1"/>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x v="1"/>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x v="1"/>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x v="0"/>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x v="1"/>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x v="1"/>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x v="1"/>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x v="0"/>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x v="0"/>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x v="1"/>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x v="1"/>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x v="0"/>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x v="1"/>
    <s v="Non-Travel"/>
    <x v="2"/>
    <s v="Current Employees"/>
    <x v="0"/>
    <x v="0"/>
    <s v="STAFF-1044"/>
    <n v="1044"/>
    <x v="0"/>
    <x v="6"/>
    <x v="0"/>
    <s v="No"/>
    <s v="Y"/>
    <n v="2"/>
    <n v="-2"/>
    <n v="0"/>
    <n v="33"/>
    <n v="0"/>
    <m/>
    <n v="0"/>
    <n v="1"/>
    <n v="1038"/>
    <n v="8"/>
    <s v="High School"/>
    <n v="1"/>
    <n v="2"/>
    <n v="88"/>
    <n v="2"/>
    <n v="1"/>
    <n v="1"/>
    <n v="2342"/>
    <n v="21437"/>
    <n v="0"/>
    <n v="19"/>
    <n v="3"/>
    <n v="4"/>
    <n v="80"/>
    <n v="0"/>
    <n v="3"/>
    <n v="2"/>
    <n v="2"/>
    <n v="2"/>
    <n v="2"/>
    <n v="2"/>
  </r>
  <r>
    <x v="1"/>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x v="1"/>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x v="1"/>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x v="1"/>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x v="1"/>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x v="1"/>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x v="0"/>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x v="0"/>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x v="1"/>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x v="1"/>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x v="1"/>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x v="1"/>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x v="1"/>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x v="1"/>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x v="1"/>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x v="1"/>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x v="1"/>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x v="1"/>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x v="1"/>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x v="1"/>
    <s v="Non-Travel"/>
    <x v="3"/>
    <s v="Current Employees"/>
    <x v="1"/>
    <x v="2"/>
    <s v="STAFF-1074"/>
    <n v="1074"/>
    <x v="1"/>
    <x v="5"/>
    <x v="0"/>
    <s v="No"/>
    <s v="Y"/>
    <n v="3"/>
    <n v="-2"/>
    <n v="0"/>
    <n v="55"/>
    <n v="0"/>
    <m/>
    <n v="0"/>
    <n v="1"/>
    <n v="444"/>
    <n v="2"/>
    <s v="High School"/>
    <n v="1"/>
    <n v="3"/>
    <n v="40"/>
    <n v="2"/>
    <n v="4"/>
    <n v="3"/>
    <n v="16756"/>
    <n v="17323"/>
    <n v="7"/>
    <n v="15"/>
    <n v="3"/>
    <n v="2"/>
    <n v="80"/>
    <n v="0"/>
    <n v="31"/>
    <n v="4"/>
    <n v="9"/>
    <n v="7"/>
    <n v="6"/>
    <n v="2"/>
  </r>
  <r>
    <x v="1"/>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x v="0"/>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x v="0"/>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x v="1"/>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x v="0"/>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x v="0"/>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x v="1"/>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x v="1"/>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x v="1"/>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x v="1"/>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x v="1"/>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x v="1"/>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x v="1"/>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x v="1"/>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x v="0"/>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x v="1"/>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x v="0"/>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x v="0"/>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x v="1"/>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x v="1"/>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x v="1"/>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x v="0"/>
    <s v="Travel_Rarely"/>
    <x v="2"/>
    <s v="Ex-Employees"/>
    <x v="1"/>
    <x v="4"/>
    <s v="STAFF-1106"/>
    <n v="1106"/>
    <x v="1"/>
    <x v="2"/>
    <x v="1"/>
    <s v="Yes"/>
    <s v="Y"/>
    <n v="3"/>
    <n v="-2"/>
    <n v="0"/>
    <n v="25"/>
    <n v="1"/>
    <n v="1"/>
    <n v="1"/>
    <n v="0"/>
    <n v="1219"/>
    <n v="4"/>
    <s v="High School"/>
    <n v="1"/>
    <n v="4"/>
    <n v="32"/>
    <n v="3"/>
    <n v="1"/>
    <n v="4"/>
    <n v="3691"/>
    <n v="4605"/>
    <n v="1"/>
    <n v="15"/>
    <n v="3"/>
    <n v="2"/>
    <n v="80"/>
    <n v="1"/>
    <n v="7"/>
    <n v="4"/>
    <n v="7"/>
    <n v="7"/>
    <n v="5"/>
    <n v="6"/>
  </r>
  <r>
    <x v="0"/>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x v="0"/>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x v="1"/>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x v="0"/>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x v="0"/>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x v="1"/>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x v="1"/>
    <s v="Non-Travel"/>
    <x v="2"/>
    <s v="Current Employees"/>
    <x v="1"/>
    <x v="0"/>
    <s v="STAFF-1115"/>
    <n v="1115"/>
    <x v="1"/>
    <x v="1"/>
    <x v="1"/>
    <s v="No"/>
    <s v="Y"/>
    <n v="2"/>
    <n v="-2"/>
    <n v="0"/>
    <n v="34"/>
    <n v="0"/>
    <m/>
    <n v="0"/>
    <n v="1"/>
    <n v="697"/>
    <n v="3"/>
    <s v="Master's Degree"/>
    <n v="1"/>
    <n v="3"/>
    <n v="40"/>
    <n v="2"/>
    <n v="1"/>
    <n v="1"/>
    <n v="2979"/>
    <n v="22478"/>
    <n v="3"/>
    <n v="17"/>
    <n v="3"/>
    <n v="4"/>
    <n v="80"/>
    <n v="3"/>
    <n v="6"/>
    <n v="3"/>
    <n v="0"/>
    <n v="0"/>
    <n v="0"/>
    <n v="0"/>
  </r>
  <r>
    <x v="1"/>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x v="1"/>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x v="1"/>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x v="1"/>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x v="1"/>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x v="1"/>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x v="1"/>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x v="1"/>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x v="1"/>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x v="0"/>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x v="1"/>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x v="1"/>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x v="1"/>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x v="1"/>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x v="1"/>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x v="1"/>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x v="1"/>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x v="1"/>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x v="1"/>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x v="1"/>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x v="1"/>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x v="1"/>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x v="1"/>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x v="1"/>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x v="0"/>
    <s v="Non-Travel"/>
    <x v="4"/>
    <s v="Ex-Employees"/>
    <x v="1"/>
    <x v="2"/>
    <s v="STAFF-1156"/>
    <n v="1156"/>
    <x v="1"/>
    <x v="2"/>
    <x v="0"/>
    <s v="No"/>
    <s v="Y"/>
    <n v="0"/>
    <n v="-2"/>
    <n v="0"/>
    <n v="18"/>
    <n v="1"/>
    <n v="1"/>
    <n v="1"/>
    <n v="0"/>
    <n v="247"/>
    <n v="8"/>
    <s v="High School"/>
    <n v="1"/>
    <n v="3"/>
    <n v="80"/>
    <n v="3"/>
    <n v="1"/>
    <n v="3"/>
    <n v="1904"/>
    <n v="13556"/>
    <n v="1"/>
    <n v="12"/>
    <n v="3"/>
    <n v="4"/>
    <n v="80"/>
    <n v="0"/>
    <n v="0"/>
    <n v="3"/>
    <n v="0"/>
    <n v="0"/>
    <n v="0"/>
    <n v="0"/>
  </r>
  <r>
    <x v="0"/>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x v="1"/>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x v="0"/>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x v="1"/>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x v="1"/>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x v="1"/>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x v="1"/>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x v="0"/>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x v="1"/>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x v="0"/>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x v="1"/>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x v="1"/>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x v="1"/>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x v="0"/>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x v="1"/>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x v="1"/>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x v="1"/>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x v="1"/>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x v="1"/>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x v="1"/>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x v="0"/>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x v="1"/>
    <s v="Non-Travel"/>
    <x v="2"/>
    <s v="Current Employees"/>
    <x v="0"/>
    <x v="0"/>
    <s v="STAFF-1190"/>
    <n v="1190"/>
    <x v="0"/>
    <x v="6"/>
    <x v="2"/>
    <s v="No"/>
    <s v="Y"/>
    <n v="3"/>
    <n v="-2"/>
    <n v="0"/>
    <n v="32"/>
    <n v="0"/>
    <m/>
    <n v="0"/>
    <n v="1"/>
    <n v="862"/>
    <n v="2"/>
    <s v="High School"/>
    <n v="1"/>
    <n v="3"/>
    <n v="76"/>
    <n v="3"/>
    <n v="1"/>
    <n v="1"/>
    <n v="2827"/>
    <n v="14947"/>
    <n v="1"/>
    <n v="12"/>
    <n v="3"/>
    <n v="3"/>
    <n v="80"/>
    <n v="3"/>
    <n v="1"/>
    <n v="3"/>
    <n v="1"/>
    <n v="0"/>
    <n v="0"/>
    <n v="0"/>
  </r>
  <r>
    <x v="1"/>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x v="1"/>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x v="1"/>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x v="1"/>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x v="1"/>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x v="1"/>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x v="0"/>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x v="1"/>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x v="1"/>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x v="0"/>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x v="1"/>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x v="1"/>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x v="1"/>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x v="0"/>
    <s v="Non-Travel"/>
    <x v="0"/>
    <s v="Ex-Employees"/>
    <x v="1"/>
    <x v="0"/>
    <s v="STAFF-1210"/>
    <n v="1210"/>
    <x v="1"/>
    <x v="1"/>
    <x v="2"/>
    <s v="No"/>
    <s v="Y"/>
    <n v="2"/>
    <n v="-2"/>
    <n v="0"/>
    <n v="41"/>
    <n v="1"/>
    <n v="1"/>
    <n v="1"/>
    <n v="0"/>
    <n v="906"/>
    <n v="5"/>
    <s v="Associates Degree"/>
    <n v="1"/>
    <n v="1"/>
    <n v="95"/>
    <n v="2"/>
    <n v="1"/>
    <n v="1"/>
    <n v="2107"/>
    <n v="20293"/>
    <n v="6"/>
    <n v="17"/>
    <n v="3"/>
    <n v="1"/>
    <n v="80"/>
    <n v="1"/>
    <n v="5"/>
    <n v="1"/>
    <n v="1"/>
    <n v="0"/>
    <n v="0"/>
    <n v="0"/>
  </r>
  <r>
    <x v="1"/>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x v="1"/>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x v="1"/>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x v="1"/>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x v="1"/>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x v="1"/>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x v="0"/>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x v="1"/>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x v="1"/>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x v="1"/>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x v="1"/>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x v="1"/>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x v="1"/>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x v="1"/>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x v="1"/>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x v="1"/>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x v="1"/>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x v="1"/>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x v="1"/>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x v="1"/>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x v="1"/>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x v="1"/>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x v="1"/>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x v="1"/>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x v="1"/>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x v="1"/>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x v="1"/>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x v="0"/>
    <s v="Non-Travel"/>
    <x v="4"/>
    <s v="Ex-Employees"/>
    <x v="1"/>
    <x v="2"/>
    <s v="STAFF-1248"/>
    <n v="1248"/>
    <x v="0"/>
    <x v="1"/>
    <x v="0"/>
    <s v="Yes"/>
    <s v="Y"/>
    <n v="2"/>
    <n v="-2"/>
    <n v="0"/>
    <n v="19"/>
    <n v="1"/>
    <n v="1"/>
    <n v="1"/>
    <n v="0"/>
    <n v="504"/>
    <n v="10"/>
    <s v="Bachelor's Degree"/>
    <n v="1"/>
    <n v="1"/>
    <n v="96"/>
    <n v="2"/>
    <n v="1"/>
    <n v="2"/>
    <n v="1859"/>
    <n v="6148"/>
    <n v="1"/>
    <n v="25"/>
    <n v="4"/>
    <n v="2"/>
    <n v="80"/>
    <n v="0"/>
    <n v="1"/>
    <n v="4"/>
    <n v="1"/>
    <n v="1"/>
    <n v="0"/>
    <n v="0"/>
  </r>
  <r>
    <x v="1"/>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x v="1"/>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x v="1"/>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x v="1"/>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x v="1"/>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x v="1"/>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x v="1"/>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x v="1"/>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x v="1"/>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x v="1"/>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x v="1"/>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x v="1"/>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x v="1"/>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x v="1"/>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x v="1"/>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x v="1"/>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x v="1"/>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x v="1"/>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x v="0"/>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x v="1"/>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x v="0"/>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x v="1"/>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x v="0"/>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x v="1"/>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x v="1"/>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x v="1"/>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x v="1"/>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x v="1"/>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x v="1"/>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x v="1"/>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x v="1"/>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x v="1"/>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x v="1"/>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x v="1"/>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x v="0"/>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x v="1"/>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x v="1"/>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x v="1"/>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x v="0"/>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x v="1"/>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x v="1"/>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x v="1"/>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x v="1"/>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x v="1"/>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x v="1"/>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x v="0"/>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x v="0"/>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x v="1"/>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x v="1"/>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x v="1"/>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x v="1"/>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x v="1"/>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x v="0"/>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x v="0"/>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x v="1"/>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x v="1"/>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x v="1"/>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x v="1"/>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x v="0"/>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x v="0"/>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x v="1"/>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x v="1"/>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x v="1"/>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x v="1"/>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x v="1"/>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x v="1"/>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x v="1"/>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x v="1"/>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x v="1"/>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x v="1"/>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x v="1"/>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x v="1"/>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x v="0"/>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x v="1"/>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x v="1"/>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x v="1"/>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x v="1"/>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x v="1"/>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x v="1"/>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x v="1"/>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x v="1"/>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x v="0"/>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x v="1"/>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x v="1"/>
    <s v="Non-Travel"/>
    <x v="2"/>
    <s v="Current Employees"/>
    <x v="1"/>
    <x v="4"/>
    <s v="STAFF-1374"/>
    <n v="1374"/>
    <x v="0"/>
    <x v="1"/>
    <x v="2"/>
    <s v="No"/>
    <s v="Y"/>
    <n v="2"/>
    <n v="-2"/>
    <n v="0"/>
    <n v="34"/>
    <n v="0"/>
    <m/>
    <n v="0"/>
    <n v="1"/>
    <n v="999"/>
    <n v="26"/>
    <s v="High School"/>
    <n v="1"/>
    <n v="4"/>
    <n v="92"/>
    <n v="2"/>
    <n v="1"/>
    <n v="4"/>
    <n v="2029"/>
    <n v="15891"/>
    <n v="1"/>
    <n v="20"/>
    <n v="4"/>
    <n v="3"/>
    <n v="80"/>
    <n v="3"/>
    <n v="5"/>
    <n v="3"/>
    <n v="5"/>
    <n v="4"/>
    <n v="0"/>
    <n v="0"/>
  </r>
  <r>
    <x v="1"/>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x v="1"/>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x v="0"/>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x v="0"/>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x v="1"/>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x v="1"/>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x v="1"/>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x v="0"/>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x v="1"/>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x v="1"/>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x v="1"/>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x v="1"/>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x v="1"/>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x v="1"/>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x v="1"/>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x v="1"/>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x v="1"/>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x v="1"/>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x v="1"/>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x v="0"/>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x v="1"/>
    <s v="Travel_Rarely"/>
    <x v="2"/>
    <s v="Current Employees"/>
    <x v="1"/>
    <x v="2"/>
    <s v="STAFF-1407"/>
    <n v="1407"/>
    <x v="1"/>
    <x v="1"/>
    <x v="0"/>
    <s v="No"/>
    <s v="Y"/>
    <n v="2"/>
    <n v="-2"/>
    <n v="0"/>
    <n v="26"/>
    <n v="0"/>
    <m/>
    <n v="0"/>
    <n v="1"/>
    <n v="683"/>
    <n v="2"/>
    <s v="High School"/>
    <n v="1"/>
    <n v="1"/>
    <n v="36"/>
    <n v="2"/>
    <n v="1"/>
    <n v="4"/>
    <n v="3904"/>
    <n v="4050"/>
    <n v="0"/>
    <n v="12"/>
    <n v="3"/>
    <n v="4"/>
    <n v="80"/>
    <n v="0"/>
    <n v="5"/>
    <n v="3"/>
    <n v="4"/>
    <n v="3"/>
    <n v="1"/>
    <n v="1"/>
  </r>
  <r>
    <x v="1"/>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x v="1"/>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x v="1"/>
    <s v="Non-Travel"/>
    <x v="0"/>
    <s v="Current Employees"/>
    <x v="1"/>
    <x v="2"/>
    <s v="STAFF-1662"/>
    <n v="1662"/>
    <x v="0"/>
    <x v="3"/>
    <x v="1"/>
    <s v="No"/>
    <s v="Y"/>
    <n v="6"/>
    <n v="-2"/>
    <n v="0"/>
    <n v="36"/>
    <n v="0"/>
    <m/>
    <n v="0"/>
    <n v="1"/>
    <n v="894"/>
    <n v="1"/>
    <s v="Master's Degree"/>
    <n v="1"/>
    <n v="4"/>
    <n v="33"/>
    <n v="2"/>
    <n v="2"/>
    <n v="3"/>
    <n v="4374"/>
    <n v="15411"/>
    <n v="0"/>
    <n v="15"/>
    <n v="3"/>
    <n v="3"/>
    <n v="80"/>
    <n v="0"/>
    <n v="4"/>
    <n v="3"/>
    <n v="3"/>
    <n v="2"/>
    <n v="1"/>
    <n v="2"/>
  </r>
  <r>
    <x v="1"/>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x v="1"/>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x v="1"/>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x v="1"/>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x v="1"/>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x v="1"/>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x v="1"/>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x v="1"/>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x v="1"/>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x v="1"/>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x v="1"/>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x v="1"/>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x v="1"/>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x v="1"/>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x v="1"/>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x v="1"/>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x v="1"/>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x v="1"/>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x v="1"/>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x v="1"/>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x v="1"/>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x v="1"/>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x v="1"/>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x v="1"/>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x v="1"/>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x v="1"/>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x v="1"/>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x v="1"/>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x v="1"/>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x v="1"/>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x v="1"/>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x v="1"/>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x v="1"/>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x v="1"/>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x v="1"/>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x v="1"/>
    <s v="Travel_Rarely"/>
    <x v="2"/>
    <s v="Current Employees"/>
    <x v="1"/>
    <x v="1"/>
    <s v="STAFF-1544"/>
    <n v="1544"/>
    <x v="0"/>
    <x v="4"/>
    <x v="1"/>
    <s v="No"/>
    <s v="Y"/>
    <n v="3"/>
    <n v="-2"/>
    <n v="0"/>
    <n v="29"/>
    <n v="0"/>
    <m/>
    <n v="0"/>
    <n v="1"/>
    <n v="441"/>
    <n v="8"/>
    <s v="High School"/>
    <n v="1"/>
    <n v="3"/>
    <n v="39"/>
    <n v="1"/>
    <n v="2"/>
    <n v="3"/>
    <n v="9715"/>
    <n v="7288"/>
    <n v="3"/>
    <n v="13"/>
    <n v="3"/>
    <n v="3"/>
    <n v="80"/>
    <n v="1"/>
    <n v="9"/>
    <n v="3"/>
    <n v="7"/>
    <n v="7"/>
    <n v="0"/>
    <n v="7"/>
  </r>
  <r>
    <x v="1"/>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x v="1"/>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x v="1"/>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x v="1"/>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x v="1"/>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x v="1"/>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x v="1"/>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x v="1"/>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x v="1"/>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x v="1"/>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x v="1"/>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x v="1"/>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x v="1"/>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x v="1"/>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x v="1"/>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x v="1"/>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x v="1"/>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x v="1"/>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x v="1"/>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x v="1"/>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x v="1"/>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x v="1"/>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x v="1"/>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x v="1"/>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x v="1"/>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x v="1"/>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x v="1"/>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x v="1"/>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x v="1"/>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x v="1"/>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x v="1"/>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x v="1"/>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x v="1"/>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x v="1"/>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x v="1"/>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x v="1"/>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x v="1"/>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x v="1"/>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x v="1"/>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x v="1"/>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x v="1"/>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x v="1"/>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x v="1"/>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x v="1"/>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x v="1"/>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x v="1"/>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x v="1"/>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x v="1"/>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x v="1"/>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x v="1"/>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x v="1"/>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x v="1"/>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x v="1"/>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x v="1"/>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x v="1"/>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x v="1"/>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x v="1"/>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x v="1"/>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x v="1"/>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x v="1"/>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x v="1"/>
    <s v="Non-Travel"/>
    <x v="0"/>
    <s v="Current Employees"/>
    <x v="1"/>
    <x v="2"/>
    <s v="STAFF-1468"/>
    <n v="1468"/>
    <x v="1"/>
    <x v="7"/>
    <x v="2"/>
    <s v="No"/>
    <s v="Y"/>
    <n v="5"/>
    <n v="-2"/>
    <n v="0"/>
    <n v="40"/>
    <n v="0"/>
    <m/>
    <n v="0"/>
    <n v="1"/>
    <n v="218"/>
    <n v="8"/>
    <s v="High School"/>
    <n v="1"/>
    <n v="4"/>
    <n v="55"/>
    <n v="2"/>
    <n v="3"/>
    <n v="2"/>
    <n v="13757"/>
    <n v="25178"/>
    <n v="2"/>
    <n v="11"/>
    <n v="3"/>
    <n v="3"/>
    <n v="80"/>
    <n v="1"/>
    <n v="16"/>
    <n v="3"/>
    <n v="9"/>
    <n v="8"/>
    <n v="4"/>
    <n v="8"/>
  </r>
  <r>
    <x v="1"/>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x v="1"/>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x v="1"/>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x v="1"/>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x v="1"/>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x v="1"/>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x v="1"/>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x v="1"/>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x v="1"/>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x v="1"/>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x v="1"/>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x v="1"/>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x v="1"/>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x v="1"/>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x v="1"/>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x v="1"/>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x v="1"/>
    <s v="Non-Travel"/>
    <x v="1"/>
    <s v="Current Employees"/>
    <x v="0"/>
    <x v="3"/>
    <s v="STAFF-1731"/>
    <n v="1731"/>
    <x v="1"/>
    <x v="0"/>
    <x v="1"/>
    <s v="No"/>
    <s v="Y"/>
    <n v="3"/>
    <n v="-2"/>
    <n v="0"/>
    <n v="47"/>
    <n v="0"/>
    <m/>
    <n v="0"/>
    <n v="1"/>
    <n v="543"/>
    <n v="2"/>
    <s v="Master's Degree"/>
    <n v="1"/>
    <n v="3"/>
    <n v="87"/>
    <n v="3"/>
    <n v="2"/>
    <n v="2"/>
    <n v="4978"/>
    <n v="3536"/>
    <n v="7"/>
    <n v="11"/>
    <n v="3"/>
    <n v="4"/>
    <n v="80"/>
    <n v="1"/>
    <n v="4"/>
    <n v="1"/>
    <n v="1"/>
    <n v="0"/>
    <n v="0"/>
    <n v="0"/>
  </r>
  <r>
    <x v="1"/>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x v="1"/>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x v="1"/>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x v="1"/>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x v="1"/>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x v="1"/>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x v="1"/>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x v="1"/>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x v="1"/>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x v="1"/>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x v="1"/>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x v="1"/>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x v="1"/>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x v="1"/>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x v="1"/>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x v="1"/>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x v="1"/>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x v="1"/>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x v="1"/>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x v="1"/>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x v="1"/>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x v="1"/>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x v="1"/>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x v="1"/>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x v="1"/>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x v="1"/>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x v="1"/>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x v="1"/>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x v="1"/>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x v="1"/>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x v="1"/>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x v="1"/>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x v="1"/>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x v="1"/>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x v="1"/>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x v="1"/>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x v="1"/>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x v="1"/>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x v="1"/>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x v="1"/>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x v="1"/>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x v="1"/>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x v="1"/>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x v="1"/>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x v="1"/>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x v="1"/>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x v="1"/>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x v="1"/>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x v="1"/>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x v="1"/>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x v="1"/>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x v="1"/>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x v="1"/>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x v="1"/>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x v="1"/>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x v="1"/>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x v="1"/>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x v="1"/>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x v="1"/>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x v="1"/>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x v="1"/>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x v="1"/>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x v="1"/>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x v="1"/>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x v="1"/>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x v="1"/>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x v="1"/>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x v="1"/>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x v="1"/>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x v="1"/>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x v="1"/>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x v="1"/>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x v="1"/>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x v="1"/>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x v="1"/>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x v="1"/>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x v="1"/>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x v="1"/>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x v="1"/>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x v="1"/>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x v="1"/>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x v="1"/>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x v="1"/>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x v="1"/>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x v="1"/>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x v="1"/>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x v="1"/>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x v="1"/>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x v="1"/>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x v="1"/>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x v="1"/>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x v="1"/>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x v="1"/>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x v="1"/>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x v="1"/>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x v="1"/>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x v="1"/>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x v="1"/>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x v="1"/>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x v="1"/>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x v="1"/>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x v="1"/>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x v="1"/>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x v="1"/>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x v="1"/>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x v="1"/>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x v="1"/>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x v="1"/>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x v="1"/>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x v="1"/>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x v="1"/>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x v="1"/>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x v="1"/>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x v="1"/>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x v="1"/>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x v="1"/>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x v="1"/>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x v="1"/>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x v="1"/>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x v="1"/>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x v="1"/>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x v="1"/>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x v="1"/>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x v="1"/>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x v="1"/>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x v="1"/>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x v="1"/>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x v="1"/>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x v="1"/>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x v="1"/>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x v="1"/>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x v="1"/>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x v="1"/>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x v="1"/>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x v="1"/>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x v="1"/>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x v="1"/>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x v="1"/>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x v="1"/>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x v="1"/>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x v="1"/>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x v="1"/>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x v="1"/>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x v="1"/>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x v="1"/>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x v="1"/>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x v="1"/>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x v="1"/>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x v="1"/>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x v="1"/>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x v="1"/>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x v="1"/>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x v="1"/>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x v="1"/>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x v="1"/>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x v="1"/>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x v="1"/>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x v="1"/>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x v="1"/>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x v="1"/>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x v="1"/>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x v="1"/>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x v="1"/>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x v="1"/>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x v="1"/>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x v="1"/>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x v="1"/>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x v="1"/>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x v="1"/>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x v="1"/>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x v="1"/>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x v="1"/>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x v="1"/>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x v="1"/>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x v="1"/>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x v="1"/>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x v="1"/>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x v="1"/>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x v="1"/>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x v="1"/>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x v="1"/>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x v="1"/>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x v="1"/>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x v="1"/>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x v="1"/>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x v="1"/>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x v="1"/>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x v="1"/>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x v="1"/>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x v="1"/>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x v="1"/>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x v="1"/>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x v="1"/>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x v="1"/>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x v="1"/>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x v="1"/>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x v="1"/>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x v="1"/>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x v="1"/>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x v="1"/>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x v="1"/>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x v="1"/>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x v="1"/>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x v="1"/>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x v="1"/>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x v="1"/>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x v="1"/>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x v="1"/>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x v="1"/>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x v="1"/>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x v="1"/>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x v="1"/>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x v="1"/>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x v="1"/>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x v="1"/>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x v="1"/>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x v="1"/>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x v="1"/>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x v="1"/>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x v="1"/>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x v="1"/>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x v="1"/>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x v="1"/>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x v="1"/>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x v="1"/>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x v="1"/>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x v="1"/>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x v="1"/>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x v="1"/>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x v="1"/>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x v="1"/>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x v="1"/>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x v="1"/>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x v="1"/>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x v="1"/>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x v="1"/>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x v="1"/>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x v="1"/>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x v="1"/>
    <s v="Non-Travel"/>
    <x v="0"/>
    <s v="Current Employees"/>
    <x v="1"/>
    <x v="0"/>
    <s v="STAFF-1949"/>
    <n v="1949"/>
    <x v="1"/>
    <x v="2"/>
    <x v="1"/>
    <s v="No"/>
    <s v="Y"/>
    <n v="3"/>
    <n v="-2"/>
    <n v="0"/>
    <n v="36"/>
    <n v="0"/>
    <m/>
    <n v="0"/>
    <n v="1"/>
    <n v="1351"/>
    <n v="9"/>
    <s v="Master's Degree"/>
    <n v="1"/>
    <n v="1"/>
    <n v="66"/>
    <n v="4"/>
    <n v="1"/>
    <n v="2"/>
    <n v="2810"/>
    <n v="9238"/>
    <n v="1"/>
    <n v="22"/>
    <n v="4"/>
    <n v="2"/>
    <n v="80"/>
    <n v="0"/>
    <n v="5"/>
    <n v="3"/>
    <n v="5"/>
    <n v="4"/>
    <n v="0"/>
    <n v="2"/>
  </r>
  <r>
    <x v="1"/>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x v="1"/>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x v="1"/>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x v="1"/>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x v="1"/>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x v="1"/>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x v="1"/>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x v="1"/>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x v="1"/>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x v="1"/>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x v="1"/>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x v="1"/>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x v="1"/>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x v="1"/>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x v="1"/>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x v="1"/>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x v="1"/>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x v="1"/>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x v="1"/>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x v="1"/>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x v="1"/>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x v="1"/>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x v="1"/>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x v="1"/>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x v="1"/>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x v="1"/>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x v="1"/>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x v="1"/>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x v="1"/>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x v="1"/>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x v="1"/>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x v="1"/>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x v="1"/>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x v="1"/>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x v="1"/>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x v="1"/>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x v="1"/>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x v="1"/>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x v="1"/>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x v="1"/>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x v="1"/>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x v="0"/>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x v="0"/>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x v="0"/>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x v="0"/>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x v="0"/>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x v="0"/>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x v="0"/>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x v="0"/>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x v="0"/>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x v="0"/>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x v="0"/>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x v="0"/>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x v="0"/>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x v="0"/>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x v="0"/>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x v="0"/>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x v="0"/>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x v="0"/>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x v="0"/>
    <s v="Travel_Rarely"/>
    <x v="4"/>
    <s v="Ex-Employees"/>
    <x v="2"/>
    <x v="5"/>
    <s v="STAFF-1714"/>
    <n v="1714"/>
    <x v="1"/>
    <x v="8"/>
    <x v="1"/>
    <s v="No"/>
    <s v="Y"/>
    <n v="2"/>
    <n v="-2"/>
    <n v="0"/>
    <n v="24"/>
    <n v="1"/>
    <n v="1"/>
    <n v="1"/>
    <n v="0"/>
    <n v="240"/>
    <n v="22"/>
    <s v="High School"/>
    <n v="1"/>
    <n v="4"/>
    <n v="58"/>
    <n v="1"/>
    <n v="1"/>
    <n v="3"/>
    <n v="1555"/>
    <n v="11585"/>
    <n v="1"/>
    <n v="11"/>
    <n v="3"/>
    <n v="3"/>
    <n v="80"/>
    <n v="1"/>
    <n v="1"/>
    <n v="3"/>
    <n v="1"/>
    <n v="0"/>
    <n v="0"/>
    <n v="0"/>
  </r>
  <r>
    <x v="0"/>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x v="0"/>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x v="0"/>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x v="0"/>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x v="0"/>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x v="0"/>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x v="0"/>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x v="0"/>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x v="0"/>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x v="0"/>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x v="0"/>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x v="0"/>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x v="0"/>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x v="0"/>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x v="0"/>
    <s v="Travel_Rarely"/>
    <x v="4"/>
    <s v="Ex-Employees"/>
    <x v="0"/>
    <x v="3"/>
    <s v="STAFF-1780"/>
    <n v="1780"/>
    <x v="1"/>
    <x v="6"/>
    <x v="0"/>
    <s v="No"/>
    <s v="Y"/>
    <n v="3"/>
    <n v="-2"/>
    <n v="0"/>
    <n v="21"/>
    <n v="1"/>
    <n v="1"/>
    <n v="1"/>
    <n v="0"/>
    <n v="337"/>
    <n v="7"/>
    <s v="High School"/>
    <n v="1"/>
    <n v="2"/>
    <n v="31"/>
    <n v="3"/>
    <n v="1"/>
    <n v="1"/>
    <n v="2679"/>
    <n v="4567"/>
    <n v="1"/>
    <n v="13"/>
    <n v="3"/>
    <n v="2"/>
    <n v="80"/>
    <n v="0"/>
    <n v="1"/>
    <n v="3"/>
    <n v="1"/>
    <n v="0"/>
    <n v="1"/>
    <n v="0"/>
  </r>
  <r>
    <x v="0"/>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x v="0"/>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x v="0"/>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x v="0"/>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x v="0"/>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x v="0"/>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x v="0"/>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x v="0"/>
    <s v="Travel_Rarely"/>
    <x v="4"/>
    <s v="Ex-Employees"/>
    <x v="1"/>
    <x v="2"/>
    <s v="STAFF-1783"/>
    <n v="1783"/>
    <x v="0"/>
    <x v="2"/>
    <x v="1"/>
    <s v="Yes"/>
    <s v="Y"/>
    <n v="6"/>
    <n v="-2"/>
    <n v="0"/>
    <n v="22"/>
    <n v="1"/>
    <n v="1"/>
    <n v="1"/>
    <n v="0"/>
    <n v="1294"/>
    <n v="8"/>
    <s v="High School"/>
    <n v="1"/>
    <n v="3"/>
    <n v="79"/>
    <n v="3"/>
    <n v="1"/>
    <n v="1"/>
    <n v="2398"/>
    <n v="15999"/>
    <n v="1"/>
    <n v="17"/>
    <n v="3"/>
    <n v="3"/>
    <n v="80"/>
    <n v="0"/>
    <n v="1"/>
    <n v="3"/>
    <n v="1"/>
    <n v="0"/>
    <n v="0"/>
    <n v="0"/>
  </r>
  <r>
    <x v="0"/>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x v="0"/>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x v="0"/>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x v="0"/>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x v="0"/>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x v="0"/>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x v="0"/>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x v="0"/>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x v="0"/>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x v="0"/>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x v="0"/>
    <s v="Travel_Rarely"/>
    <x v="4"/>
    <s v="Ex-Employees"/>
    <x v="1"/>
    <x v="2"/>
    <s v="STAFF-1684"/>
    <n v="1684"/>
    <x v="1"/>
    <x v="2"/>
    <x v="0"/>
    <s v="Yes"/>
    <s v="Y"/>
    <n v="2"/>
    <n v="-2"/>
    <n v="0"/>
    <n v="23"/>
    <n v="1"/>
    <n v="1"/>
    <n v="1"/>
    <n v="0"/>
    <n v="1320"/>
    <n v="8"/>
    <s v="High School"/>
    <n v="1"/>
    <n v="4"/>
    <n v="93"/>
    <n v="2"/>
    <n v="1"/>
    <n v="3"/>
    <n v="3989"/>
    <n v="20586"/>
    <n v="1"/>
    <n v="11"/>
    <n v="3"/>
    <n v="1"/>
    <n v="80"/>
    <n v="0"/>
    <n v="5"/>
    <n v="3"/>
    <n v="5"/>
    <n v="4"/>
    <n v="1"/>
    <n v="2"/>
  </r>
  <r>
    <x v="0"/>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x v="0"/>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x v="0"/>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x v="0"/>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x v="0"/>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x v="0"/>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x v="0"/>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x v="0"/>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x v="0"/>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x v="0"/>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x v="0"/>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x v="0"/>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x v="0"/>
    <s v="Non-Travel"/>
    <x v="2"/>
    <s v="Ex-Employees"/>
    <x v="1"/>
    <x v="4"/>
    <s v="STAFF-1905"/>
    <n v="1905"/>
    <x v="1"/>
    <x v="1"/>
    <x v="1"/>
    <s v="Yes"/>
    <s v="Y"/>
    <n v="2"/>
    <n v="-2"/>
    <n v="0"/>
    <n v="34"/>
    <n v="1"/>
    <n v="1"/>
    <n v="1"/>
    <n v="0"/>
    <n v="967"/>
    <n v="16"/>
    <s v="Master's Degree"/>
    <n v="1"/>
    <n v="4"/>
    <n v="85"/>
    <n v="1"/>
    <n v="1"/>
    <n v="1"/>
    <n v="2307"/>
    <n v="14460"/>
    <n v="1"/>
    <n v="23"/>
    <n v="4"/>
    <n v="2"/>
    <n v="80"/>
    <n v="1"/>
    <n v="5"/>
    <n v="3"/>
    <n v="5"/>
    <n v="2"/>
    <n v="3"/>
    <n v="0"/>
  </r>
  <r>
    <x v="0"/>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x v="0"/>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x v="0"/>
    <s v="Travel_Rarely"/>
    <x v="4"/>
    <s v="Ex-Employees"/>
    <x v="1"/>
    <x v="0"/>
    <s v="STAFF-1878"/>
    <n v="1878"/>
    <x v="1"/>
    <x v="1"/>
    <x v="0"/>
    <s v="Yes"/>
    <s v="Y"/>
    <n v="2"/>
    <n v="-2"/>
    <n v="0"/>
    <n v="22"/>
    <n v="1"/>
    <n v="1"/>
    <n v="1"/>
    <n v="0"/>
    <n v="391"/>
    <n v="7"/>
    <s v="High School"/>
    <n v="1"/>
    <n v="4"/>
    <n v="75"/>
    <n v="3"/>
    <n v="1"/>
    <n v="2"/>
    <n v="2472"/>
    <n v="26092"/>
    <n v="1"/>
    <n v="23"/>
    <n v="4"/>
    <n v="1"/>
    <n v="80"/>
    <n v="0"/>
    <n v="1"/>
    <n v="3"/>
    <n v="1"/>
    <n v="0"/>
    <n v="0"/>
    <n v="0"/>
  </r>
  <r>
    <x v="0"/>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7286A-EE58-439D-B11E-0590879F2B26}"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8:B112"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s" fld="18" subtotal="count" baseField="10" baseItem="0"/>
  </dataFields>
  <formats count="1">
    <format dxfId="99">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858F5-43EF-47EC-8BE0-536FE69C8855}"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2:C97" firstHeaderRow="1" firstDataRow="1" firstDataCol="1"/>
  <pivotFields count="44">
    <pivotField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sortType="ascending">
      <items count="7">
        <item h="1" x="5"/>
        <item h="1" x="0"/>
        <item h="1" x="3"/>
        <item h="1"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4"/>
    </i>
    <i t="grand">
      <x/>
    </i>
  </rowItems>
  <colItems count="1">
    <i/>
  </colItems>
  <dataFields count="1">
    <dataField name="Sum of CF_attrition count" fld="17" baseField="0" baseItem="0"/>
  </dataFields>
  <formats count="1">
    <format dxfId="101">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C0E86-6789-4261-9E03-726E38E20B2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2:B86" firstHeaderRow="1" firstDataRow="1" firstDataCol="1"/>
  <pivotFields count="44">
    <pivotField showAll="0">
      <items count="3">
        <item x="1"/>
        <item x="0"/>
        <item t="default"/>
      </items>
    </pivotField>
    <pivotField showAll="0"/>
    <pivotField showAll="0"/>
    <pivotField showAll="0"/>
    <pivotField axis="axisRow" showAll="0">
      <items count="4">
        <item x="2"/>
        <item x="1"/>
        <item x="0"/>
        <item t="default"/>
      </items>
    </pivotField>
    <pivotField showAll="0" sortType="ascending">
      <items count="7">
        <item h="1" x="5"/>
        <item h="1" x="0"/>
        <item h="1" x="3"/>
        <item h="1"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formats count="1">
    <format dxfId="102">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 chart="7" format="15">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DAA315-9B4B-4E87-BE2C-69186688778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B78" firstHeaderRow="1" firstDataRow="1" firstDataCol="1"/>
  <pivotFields count="44">
    <pivotField showAll="0">
      <items count="3">
        <item x="1"/>
        <item x="0"/>
        <item t="default"/>
      </items>
    </pivotField>
    <pivotField showAll="0"/>
    <pivotField showAll="0"/>
    <pivotField showAll="0"/>
    <pivotField showAll="0"/>
    <pivotField showAll="0" sortType="ascending">
      <items count="7">
        <item h="1" x="5"/>
        <item h="1" x="0"/>
        <item h="1" x="3"/>
        <item h="1"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4"/>
    </i>
    <i>
      <x v="3"/>
    </i>
    <i>
      <x v="5"/>
    </i>
    <i>
      <x v="1"/>
    </i>
    <i>
      <x/>
    </i>
    <i>
      <x v="8"/>
    </i>
    <i>
      <x v="6"/>
    </i>
    <i>
      <x v="7"/>
    </i>
    <i>
      <x v="2"/>
    </i>
    <i t="grand">
      <x/>
    </i>
  </rowItems>
  <colItems count="1">
    <i/>
  </colItems>
  <dataFields count="1">
    <dataField name="Sum of CF_attrition count" fld="17" baseField="0" baseItem="0"/>
  </dataFields>
  <formats count="1">
    <format dxfId="10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40200F-8AB1-493E-95CF-A74A08900DB4}"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5:B57" firstHeaderRow="1" firstDataRow="1" firstDataCol="1"/>
  <pivotFields count="44">
    <pivotField showAll="0">
      <items count="3">
        <item x="1"/>
        <item x="0"/>
        <item t="default"/>
      </items>
    </pivotField>
    <pivotField showAll="0"/>
    <pivotField showAll="0"/>
    <pivotField showAll="0"/>
    <pivotField showAll="0"/>
    <pivotField axis="axisRow" showAll="0" sortType="ascending">
      <items count="7">
        <item h="1" x="5"/>
        <item h="1" x="0"/>
        <item h="1" x="3"/>
        <item h="1"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v="4"/>
    </i>
    <i t="grand">
      <x/>
    </i>
  </rowItems>
  <colItems count="1">
    <i/>
  </colItems>
  <dataFields count="1">
    <dataField name="Sum of CF_attrition count" fld="17" baseField="0" baseItem="0"/>
  </dataFields>
  <formats count="1">
    <format dxfId="10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B734B9-9325-4DE2-AF71-7945C6F152B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A15" firstHeaderRow="1" firstDataRow="1" firstDataCol="0"/>
  <pivotFields count="44">
    <pivotField showAll="0">
      <items count="3">
        <item x="1"/>
        <item x="0"/>
        <item t="default"/>
      </items>
    </pivotField>
    <pivotField showAll="0"/>
    <pivotField showAll="0"/>
    <pivotField showAll="0"/>
    <pivotField showAll="0"/>
    <pivotField showAll="0">
      <items count="7">
        <item h="1" x="5"/>
        <item h="1" x="0"/>
        <item h="1" x="3"/>
        <item h="1" x="2"/>
        <item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formats count="1">
    <format dxfId="10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E803C-91A3-4BF9-A2ED-837FB6C5548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items count="3">
        <item x="1"/>
        <item x="0"/>
        <item t="default"/>
      </items>
    </pivotField>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numFmtId="1"/>
  </dataFields>
  <formats count="3">
    <format dxfId="108">
      <pivotArea outline="0" collapsedLevelsAreSubtotals="1" fieldPosition="0">
        <references count="1">
          <reference field="4294967294" count="1" selected="0">
            <x v="2"/>
          </reference>
        </references>
      </pivotArea>
    </format>
    <format dxfId="109">
      <pivotArea outline="0" collapsedLevelsAreSubtotals="1" fieldPosition="0"/>
    </format>
    <format dxfId="110">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4DC549-59DA-4627-8D16-72B657AECE2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8:B41" firstHeaderRow="1" firstDataRow="1" firstDataCol="1"/>
  <pivotFields count="44">
    <pivotField showAll="0">
      <items count="3">
        <item x="1"/>
        <item x="0"/>
        <item t="default"/>
      </items>
    </pivotField>
    <pivotField showAll="0"/>
    <pivotField showAll="0"/>
    <pivotField showAll="0"/>
    <pivotField showAll="0"/>
    <pivotField showAll="0">
      <items count="7">
        <item h="1" x="5"/>
        <item h="1" x="0"/>
        <item h="1" x="3"/>
        <item h="1" x="2"/>
        <item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1">
    <format dxfId="10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DB2CE1-969B-489B-BF98-B4F87F7C358B}" sourceName="Gender">
  <pivotTables>
    <pivotTable tabId="8" name="PivotTable1"/>
    <pivotTable tabId="8" name="PivotTable2"/>
    <pivotTable tabId="8" name="PivotTable3"/>
    <pivotTable tabId="8" name="PivotTable4"/>
    <pivotTable tabId="8" name="PivotTable5"/>
    <pivotTable tabId="8" name="PivotTable8"/>
    <pivotTable tabId="8" name="PivotTable9"/>
    <pivotTable tabId="8" name="PivotTable10"/>
  </pivotTables>
  <data>
    <tabular pivotCacheId="17345047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AAC59E9-764B-41D9-92EC-8C1E6E2C6FE6}" sourceName="Education Field">
  <pivotTables>
    <pivotTable tabId="8" name="PivotTable2"/>
    <pivotTable tabId="8" name="PivotTable3"/>
    <pivotTable tabId="8" name="PivotTable4"/>
    <pivotTable tabId="8" name="PivotTable5"/>
    <pivotTable tabId="8" name="PivotTable8"/>
    <pivotTable tabId="8" name="PivotTable9"/>
    <pivotTable tabId="8" name="PivotTable10"/>
  </pivotTables>
  <data>
    <tabular pivotCacheId="1734504768">
      <items count="6">
        <i x="5"/>
        <i x="0"/>
        <i x="3"/>
        <i x="2"/>
        <i x="1"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C783B5C-A4F8-4E4D-A753-68AF405CE72F}" sourceName="Department">
  <pivotTables>
    <pivotTable tabId="8" name="PivotTable10"/>
  </pivotTables>
  <data>
    <tabular pivotCacheId="1734504768">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218A9B-AB4D-4AD4-A1B1-1E065C0341FE}" cache="Slicer_Gender" caption="Gender" style="SlicerStyleLight1" rowHeight="257175"/>
  <slicer name="Gender 1" xr10:uid="{B14C7D9D-4903-40D4-8463-E6B5D662528B}" cache="Slicer_Gender" caption="Gender" style="SlicerStyleLight1" rowHeight="257175"/>
  <slicer name="Education Field" xr10:uid="{A4499279-3ED4-474A-BDD1-0636188346A8}" cache="Slicer_Education_Field" caption="Education Field" style="SlicerStyleLight1" rowHeight="257175"/>
  <slicer name="Education Field 1" xr10:uid="{16600A38-3416-43FC-A6F8-0DBFAF40DF3C}" cache="Slicer_Education_Field" caption="Education Field"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85CDB77-ED77-4CF1-A8A5-58BF4F1777CB}" cache="Slicer_Gender" caption="Gender" columnCount="2" style="Slicer Style 2" rowHeight="257175"/>
  <slicer name="Education Field 2" xr10:uid="{286F9EBB-EDF8-4CF2-99C6-FD0759F779FA}" cache="Slicer_Education_Field" caption="Education Field" showCaption="0" style="Slicer Style 6" rowHeight="193675"/>
  <slicer name="Department" xr10:uid="{32BE0E32-9A46-4623-9FB7-CDB080A6AE0C}" cache="Slicer_Department" caption="Department" showCaption="0" style="Slicer Style 6" rowHeight="193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727C-1D10-41F5-8957-41958C1792D9}">
  <dimension ref="A2:E112"/>
  <sheetViews>
    <sheetView tabSelected="1" workbookViewId="0">
      <selection activeCell="D117" sqref="D117"/>
    </sheetView>
  </sheetViews>
  <sheetFormatPr defaultRowHeight="15.75" x14ac:dyDescent="0.25"/>
  <cols>
    <col min="1" max="1" width="12.125" bestFit="1" customWidth="1"/>
    <col min="2" max="2" width="24" bestFit="1" customWidth="1"/>
    <col min="3" max="3" width="21.75" bestFit="1" customWidth="1"/>
    <col min="4" max="4" width="13.375" customWidth="1"/>
    <col min="5" max="5" width="13.375" bestFit="1" customWidth="1"/>
    <col min="6" max="6" width="13" customWidth="1"/>
  </cols>
  <sheetData>
    <row r="2" spans="1:5" ht="19.5" customHeight="1" x14ac:dyDescent="0.25"/>
    <row r="3" spans="1:5" s="9" customFormat="1" x14ac:dyDescent="0.25">
      <c r="A3" s="10" t="s">
        <v>1554</v>
      </c>
      <c r="B3" s="11" t="s">
        <v>1558</v>
      </c>
      <c r="C3" s="12" t="s">
        <v>1557</v>
      </c>
      <c r="E3"/>
    </row>
    <row r="4" spans="1:5" s="9" customFormat="1" x14ac:dyDescent="0.25">
      <c r="A4" s="20">
        <v>1470</v>
      </c>
      <c r="B4" s="21">
        <v>237</v>
      </c>
      <c r="C4" s="8">
        <v>36.923809523809524</v>
      </c>
      <c r="D4" s="13"/>
      <c r="E4"/>
    </row>
    <row r="8" spans="1:5" x14ac:dyDescent="0.25">
      <c r="A8" s="16" t="s">
        <v>1561</v>
      </c>
      <c r="B8" s="16" t="s">
        <v>0</v>
      </c>
      <c r="C8" s="17" t="s">
        <v>1562</v>
      </c>
      <c r="D8" s="9" t="s">
        <v>1560</v>
      </c>
      <c r="E8" s="9" t="s">
        <v>1559</v>
      </c>
    </row>
    <row r="9" spans="1:5" x14ac:dyDescent="0.25">
      <c r="A9">
        <f>GETPIVOTDATA("Count of Employee Number",$A$3)</f>
        <v>1470</v>
      </c>
      <c r="B9">
        <f>GETPIVOTDATA("Sum of CF_attrition count",$A$3)</f>
        <v>237</v>
      </c>
      <c r="C9" s="14">
        <f>GETPIVOTDATA("Average of Age",$A$3)</f>
        <v>36.923809523809524</v>
      </c>
      <c r="D9">
        <f>A9-B9</f>
        <v>1233</v>
      </c>
      <c r="E9" s="15">
        <f>B9/A9</f>
        <v>0.16122448979591836</v>
      </c>
    </row>
    <row r="14" spans="1:5" x14ac:dyDescent="0.25">
      <c r="A14" s="3" t="s">
        <v>1563</v>
      </c>
    </row>
    <row r="15" spans="1:5" x14ac:dyDescent="0.25">
      <c r="A15" s="22">
        <v>3.2073170731707319</v>
      </c>
    </row>
    <row r="17" spans="1:2" x14ac:dyDescent="0.25">
      <c r="A17" s="18" t="s">
        <v>1564</v>
      </c>
      <c r="B17" s="19">
        <f>GETPIVOTDATA("Job Satisfaction",$A$14)</f>
        <v>3.2073170731707319</v>
      </c>
    </row>
    <row r="18" spans="1:2" x14ac:dyDescent="0.25">
      <c r="A18" s="18" t="s">
        <v>1565</v>
      </c>
      <c r="B18" s="19">
        <f>4-B17</f>
        <v>0.79268292682926811</v>
      </c>
    </row>
    <row r="38" spans="1:3" x14ac:dyDescent="0.25">
      <c r="A38" s="4" t="s">
        <v>1555</v>
      </c>
      <c r="B38" s="3" t="s">
        <v>1566</v>
      </c>
    </row>
    <row r="39" spans="1:3" x14ac:dyDescent="0.25">
      <c r="A39" s="5" t="s">
        <v>51</v>
      </c>
      <c r="B39" s="23">
        <v>29</v>
      </c>
    </row>
    <row r="40" spans="1:3" x14ac:dyDescent="0.25">
      <c r="A40" s="6" t="s">
        <v>62</v>
      </c>
      <c r="B40" s="24">
        <v>53</v>
      </c>
    </row>
    <row r="41" spans="1:3" x14ac:dyDescent="0.25">
      <c r="A41" s="7" t="s">
        <v>1556</v>
      </c>
      <c r="B41" s="22">
        <v>82</v>
      </c>
    </row>
    <row r="43" spans="1:3" x14ac:dyDescent="0.25">
      <c r="A43" s="2" t="s">
        <v>1555</v>
      </c>
      <c r="B43" s="3" t="s">
        <v>1566</v>
      </c>
    </row>
    <row r="44" spans="1:3" x14ac:dyDescent="0.25">
      <c r="A44" t="str">
        <f>A39</f>
        <v>Female</v>
      </c>
      <c r="B44">
        <f>GETPIVOTDATA("Employee Count",$A$38,"Gender",A44)</f>
        <v>29</v>
      </c>
      <c r="C44" s="15">
        <f>B44/1470</f>
        <v>1.9727891156462583E-2</v>
      </c>
    </row>
    <row r="45" spans="1:3" x14ac:dyDescent="0.25">
      <c r="A45" t="str">
        <f>A40</f>
        <v>Male</v>
      </c>
      <c r="B45">
        <f>GETPIVOTDATA("Employee Count",$A$38,"Gender",A45)</f>
        <v>53</v>
      </c>
      <c r="C45" s="15">
        <f>B45/1470</f>
        <v>3.6054421768707483E-2</v>
      </c>
    </row>
    <row r="55" spans="1:2" x14ac:dyDescent="0.25">
      <c r="A55" s="4" t="s">
        <v>1555</v>
      </c>
      <c r="B55" s="3" t="s">
        <v>1558</v>
      </c>
    </row>
    <row r="56" spans="1:2" x14ac:dyDescent="0.25">
      <c r="A56" s="5" t="s">
        <v>66</v>
      </c>
      <c r="B56" s="23">
        <v>11</v>
      </c>
    </row>
    <row r="57" spans="1:2" x14ac:dyDescent="0.25">
      <c r="A57" s="7" t="s">
        <v>1556</v>
      </c>
      <c r="B57" s="22">
        <v>11</v>
      </c>
    </row>
    <row r="68" spans="1:4" x14ac:dyDescent="0.25">
      <c r="A68" s="4" t="s">
        <v>1555</v>
      </c>
      <c r="B68" s="3" t="s">
        <v>1558</v>
      </c>
      <c r="C68" s="2" t="s">
        <v>1555</v>
      </c>
      <c r="D68" s="3" t="s">
        <v>1558</v>
      </c>
    </row>
    <row r="69" spans="1:4" x14ac:dyDescent="0.25">
      <c r="A69" s="5" t="s">
        <v>81</v>
      </c>
      <c r="B69" s="23">
        <v>0</v>
      </c>
      <c r="C69" t="str">
        <f>A69</f>
        <v>Manufacturing Director</v>
      </c>
      <c r="D69">
        <f>GETPIVOTDATA("CF_attrition count",$A$68,"Job Role",A69)</f>
        <v>0</v>
      </c>
    </row>
    <row r="70" spans="1:4" x14ac:dyDescent="0.25">
      <c r="A70" s="6" t="s">
        <v>95</v>
      </c>
      <c r="B70" s="24">
        <v>0</v>
      </c>
      <c r="C70" t="str">
        <f t="shared" ref="C70:C78" si="0">A70</f>
        <v>Manager</v>
      </c>
      <c r="D70">
        <f t="shared" ref="D70:D78" si="1">GETPIVOTDATA("CF_attrition count",$A$68,"Job Role",A70)</f>
        <v>0</v>
      </c>
    </row>
    <row r="71" spans="1:4" x14ac:dyDescent="0.25">
      <c r="A71" s="6" t="s">
        <v>101</v>
      </c>
      <c r="B71" s="24">
        <v>0</v>
      </c>
      <c r="C71" t="str">
        <f t="shared" si="0"/>
        <v>Research Director</v>
      </c>
      <c r="D71">
        <f t="shared" si="1"/>
        <v>0</v>
      </c>
    </row>
    <row r="72" spans="1:4" x14ac:dyDescent="0.25">
      <c r="A72" s="6" t="s">
        <v>163</v>
      </c>
      <c r="B72" s="24">
        <v>0</v>
      </c>
      <c r="C72" t="str">
        <f t="shared" si="0"/>
        <v>Human Resources</v>
      </c>
      <c r="D72">
        <f t="shared" si="1"/>
        <v>0</v>
      </c>
    </row>
    <row r="73" spans="1:4" x14ac:dyDescent="0.25">
      <c r="A73" s="6" t="s">
        <v>83</v>
      </c>
      <c r="B73" s="24">
        <v>1</v>
      </c>
      <c r="C73" t="str">
        <f t="shared" si="0"/>
        <v>Healthcare Representative</v>
      </c>
      <c r="D73">
        <f t="shared" si="1"/>
        <v>1</v>
      </c>
    </row>
    <row r="74" spans="1:4" x14ac:dyDescent="0.25">
      <c r="A74" s="6" t="s">
        <v>99</v>
      </c>
      <c r="B74" s="24">
        <v>1</v>
      </c>
      <c r="C74" t="str">
        <f t="shared" si="0"/>
        <v>Sales Representative</v>
      </c>
      <c r="D74">
        <f t="shared" si="1"/>
        <v>1</v>
      </c>
    </row>
    <row r="75" spans="1:4" x14ac:dyDescent="0.25">
      <c r="A75" s="6" t="s">
        <v>63</v>
      </c>
      <c r="B75" s="24">
        <v>2</v>
      </c>
      <c r="C75" t="str">
        <f t="shared" si="0"/>
        <v>Research Scientist</v>
      </c>
      <c r="D75">
        <f t="shared" si="1"/>
        <v>2</v>
      </c>
    </row>
    <row r="76" spans="1:4" x14ac:dyDescent="0.25">
      <c r="A76" s="6" t="s">
        <v>52</v>
      </c>
      <c r="B76" s="24">
        <v>3</v>
      </c>
      <c r="C76" t="str">
        <f t="shared" si="0"/>
        <v>Sales Executive</v>
      </c>
      <c r="D76">
        <f t="shared" si="1"/>
        <v>3</v>
      </c>
    </row>
    <row r="77" spans="1:4" x14ac:dyDescent="0.25">
      <c r="A77" s="6" t="s">
        <v>68</v>
      </c>
      <c r="B77" s="24">
        <v>4</v>
      </c>
      <c r="C77" t="str">
        <f t="shared" si="0"/>
        <v>Laboratory Technician</v>
      </c>
      <c r="D77">
        <f t="shared" si="1"/>
        <v>4</v>
      </c>
    </row>
    <row r="78" spans="1:4" x14ac:dyDescent="0.25">
      <c r="A78" s="7" t="s">
        <v>1556</v>
      </c>
      <c r="B78" s="22">
        <v>11</v>
      </c>
      <c r="C78" t="str">
        <f t="shared" si="0"/>
        <v>Grand Total</v>
      </c>
      <c r="D78">
        <f>GETPIVOTDATA("CF_attrition count",$A$68)</f>
        <v>11</v>
      </c>
    </row>
    <row r="82" spans="1:3" x14ac:dyDescent="0.25">
      <c r="A82" s="4" t="s">
        <v>1555</v>
      </c>
      <c r="B82" s="3" t="s">
        <v>1558</v>
      </c>
    </row>
    <row r="83" spans="1:3" x14ac:dyDescent="0.25">
      <c r="A83" s="5" t="s">
        <v>161</v>
      </c>
      <c r="B83" s="23">
        <v>0</v>
      </c>
    </row>
    <row r="84" spans="1:3" x14ac:dyDescent="0.25">
      <c r="A84" s="6" t="s">
        <v>60</v>
      </c>
      <c r="B84" s="24">
        <v>7</v>
      </c>
    </row>
    <row r="85" spans="1:3" x14ac:dyDescent="0.25">
      <c r="A85" s="6" t="s">
        <v>48</v>
      </c>
      <c r="B85" s="24">
        <v>4</v>
      </c>
    </row>
    <row r="86" spans="1:3" x14ac:dyDescent="0.25">
      <c r="A86" s="7" t="s">
        <v>1556</v>
      </c>
      <c r="B86" s="22">
        <v>11</v>
      </c>
    </row>
    <row r="92" spans="1:3" x14ac:dyDescent="0.25">
      <c r="B92" s="4" t="s">
        <v>1555</v>
      </c>
      <c r="C92" s="3" t="s">
        <v>1558</v>
      </c>
    </row>
    <row r="93" spans="1:3" x14ac:dyDescent="0.25">
      <c r="B93" s="5" t="s">
        <v>69</v>
      </c>
      <c r="C93" s="23">
        <v>4</v>
      </c>
    </row>
    <row r="94" spans="1:3" x14ac:dyDescent="0.25">
      <c r="B94" s="6" t="s">
        <v>46</v>
      </c>
      <c r="C94" s="24">
        <v>4</v>
      </c>
    </row>
    <row r="95" spans="1:3" x14ac:dyDescent="0.25">
      <c r="B95" s="6" t="s">
        <v>58</v>
      </c>
      <c r="C95" s="24">
        <v>1</v>
      </c>
    </row>
    <row r="96" spans="1:3" x14ac:dyDescent="0.25">
      <c r="B96" s="6" t="s">
        <v>92</v>
      </c>
      <c r="C96" s="24">
        <v>2</v>
      </c>
    </row>
    <row r="97" spans="1:4" x14ac:dyDescent="0.25">
      <c r="B97" s="7" t="s">
        <v>1556</v>
      </c>
      <c r="C97" s="22">
        <v>11</v>
      </c>
    </row>
    <row r="108" spans="1:4" x14ac:dyDescent="0.25">
      <c r="A108" s="4" t="s">
        <v>1555</v>
      </c>
      <c r="B108" s="3" t="s">
        <v>1567</v>
      </c>
      <c r="C108" s="2" t="s">
        <v>1555</v>
      </c>
      <c r="D108" s="3" t="s">
        <v>1567</v>
      </c>
    </row>
    <row r="109" spans="1:4" x14ac:dyDescent="0.25">
      <c r="A109" s="5" t="s">
        <v>79</v>
      </c>
      <c r="B109" s="23">
        <v>2</v>
      </c>
      <c r="C109" t="str">
        <f>A109</f>
        <v>Divorced</v>
      </c>
      <c r="D109">
        <f>GETPIVOTDATA("CF_attrition counts",$A$108,"Marital Status",A109)</f>
        <v>2</v>
      </c>
    </row>
    <row r="110" spans="1:4" x14ac:dyDescent="0.25">
      <c r="A110" s="6" t="s">
        <v>64</v>
      </c>
      <c r="B110" s="24">
        <v>1</v>
      </c>
      <c r="C110" t="str">
        <f t="shared" ref="C110:C112" si="2">A110</f>
        <v>Married</v>
      </c>
      <c r="D110">
        <f t="shared" ref="D110:D112" si="3">GETPIVOTDATA("CF_attrition counts",$A$108,"Marital Status",A110)</f>
        <v>1</v>
      </c>
    </row>
    <row r="111" spans="1:4" x14ac:dyDescent="0.25">
      <c r="A111" s="6" t="s">
        <v>53</v>
      </c>
      <c r="B111" s="24">
        <v>4</v>
      </c>
      <c r="C111" t="str">
        <f t="shared" si="2"/>
        <v>Single</v>
      </c>
      <c r="D111">
        <f t="shared" si="3"/>
        <v>4</v>
      </c>
    </row>
    <row r="112" spans="1:4" x14ac:dyDescent="0.25">
      <c r="A112" s="7" t="s">
        <v>1556</v>
      </c>
      <c r="B112" s="22">
        <v>7</v>
      </c>
      <c r="C112" t="str">
        <f t="shared" si="2"/>
        <v>Grand Total</v>
      </c>
      <c r="D112" t="e">
        <f t="shared" si="3"/>
        <v>#REF!</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sqref="A1: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H23" sqref="H23"/>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zoomScale="60" zoomScaleNormal="60" workbookViewId="0">
      <selection activeCell="AC26" sqref="AC26"/>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Data</vt:lpstr>
      <vt:lpstr>Images</vt:lpstr>
      <vt:lpstr>Background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Office</cp:lastModifiedBy>
  <dcterms:created xsi:type="dcterms:W3CDTF">2022-12-29T16:02:46Z</dcterms:created>
  <dcterms:modified xsi:type="dcterms:W3CDTF">2025-11-16T10:40:23Z</dcterms:modified>
</cp:coreProperties>
</file>